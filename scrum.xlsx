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defaultThemeVersion="124226"/>
  <xr:revisionPtr revIDLastSave="0" documentId="13_ncr:1_{1774408E-ED25-4DAC-8ECA-04AA84D1670B}" xr6:coauthVersionLast="47" xr6:coauthVersionMax="47" xr10:uidLastSave="{00000000-0000-0000-0000-000000000000}"/>
  <bookViews>
    <workbookView xWindow="-108" yWindow="-108" windowWidth="23256" windowHeight="12456" tabRatio="810" xr2:uid="{00000000-000D-0000-FFFF-FFFF00000000}"/>
  </bookViews>
  <sheets>
    <sheet name="Resumen" sheetId="12" r:id="rId1"/>
    <sheet name="Backlog Producto" sheetId="4" r:id="rId2"/>
    <sheet name="Pila-Sprint1" sheetId="9" r:id="rId3"/>
    <sheet name="Diario-Restante-Sprint1" sheetId="14" r:id="rId4"/>
    <sheet name="Diario-Realizado-Sprint1" sheetId="15" r:id="rId5"/>
    <sheet name="Burns-Sprint1" sheetId="16" r:id="rId6"/>
    <sheet name="Retrospectiva Sprint 1" sheetId="17" r:id="rId7"/>
    <sheet name="Pila-Sprint2" sheetId="19" r:id="rId8"/>
    <sheet name="Diario-Restante-Sprint2" sheetId="21" r:id="rId9"/>
    <sheet name="Diario-Realizado-Sprint2" sheetId="22" r:id="rId10"/>
    <sheet name="Burns-Sprint2" sheetId="23" r:id="rId11"/>
    <sheet name="Retrospectiva Sprint 2" sheetId="20" r:id="rId12"/>
  </sheets>
  <definedNames>
    <definedName name="_xlnm._FilterDatabase" localSheetId="1" hidden="1">'Backlog Producto'!$A$1:$D$17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" i="22" l="1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F7" i="22"/>
  <c r="E7" i="22"/>
  <c r="G6" i="22"/>
  <c r="E6" i="22"/>
  <c r="F6" i="22"/>
  <c r="F7" i="21"/>
  <c r="G7" i="15"/>
  <c r="E7" i="14"/>
  <c r="E15" i="12"/>
  <c r="E14" i="12"/>
  <c r="B27" i="23"/>
  <c r="U28" i="23" s="1"/>
  <c r="F10" i="4"/>
  <c r="F8" i="4"/>
  <c r="F6" i="4"/>
  <c r="F3" i="4"/>
  <c r="AD28" i="23"/>
  <c r="AB28" i="23"/>
  <c r="X28" i="23"/>
  <c r="W28" i="23"/>
  <c r="V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D11" i="22"/>
  <c r="D12" i="22"/>
  <c r="D13" i="22"/>
  <c r="F9" i="4" s="1"/>
  <c r="D14" i="22"/>
  <c r="D15" i="22"/>
  <c r="D16" i="22"/>
  <c r="F11" i="4" s="1"/>
  <c r="D17" i="22"/>
  <c r="D18" i="22"/>
  <c r="F12" i="4" s="1"/>
  <c r="D19" i="22"/>
  <c r="D20" i="22"/>
  <c r="D21" i="22"/>
  <c r="D10" i="22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E7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F6" i="21"/>
  <c r="E6" i="21"/>
  <c r="E7" i="15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F6" i="15"/>
  <c r="E6" i="15"/>
  <c r="F7" i="15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C11" i="22"/>
  <c r="C12" i="22"/>
  <c r="C13" i="22"/>
  <c r="C14" i="22"/>
  <c r="C15" i="22"/>
  <c r="C16" i="22"/>
  <c r="C17" i="22"/>
  <c r="C18" i="22"/>
  <c r="C19" i="22"/>
  <c r="C20" i="22"/>
  <c r="C21" i="22"/>
  <c r="C10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D20" i="21"/>
  <c r="D21" i="21"/>
  <c r="D19" i="21"/>
  <c r="D18" i="21"/>
  <c r="D17" i="21"/>
  <c r="D16" i="21"/>
  <c r="D15" i="21"/>
  <c r="D14" i="21"/>
  <c r="D13" i="21"/>
  <c r="D12" i="21"/>
  <c r="D11" i="21"/>
  <c r="D10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A10" i="21"/>
  <c r="A21" i="21"/>
  <c r="A20" i="21"/>
  <c r="A19" i="21"/>
  <c r="A18" i="21"/>
  <c r="A17" i="21"/>
  <c r="A16" i="21"/>
  <c r="A15" i="21"/>
  <c r="A14" i="21"/>
  <c r="A13" i="21"/>
  <c r="A12" i="21"/>
  <c r="A11" i="21"/>
  <c r="C11" i="15"/>
  <c r="C12" i="15"/>
  <c r="C13" i="15"/>
  <c r="C14" i="15"/>
  <c r="C15" i="15"/>
  <c r="C16" i="15"/>
  <c r="C17" i="15"/>
  <c r="C18" i="15"/>
  <c r="C10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D10" i="15"/>
  <c r="D11" i="14"/>
  <c r="D10" i="14"/>
  <c r="B18" i="14"/>
  <c r="B17" i="14"/>
  <c r="B16" i="14"/>
  <c r="B15" i="14"/>
  <c r="B14" i="14"/>
  <c r="B13" i="14"/>
  <c r="B12" i="14"/>
  <c r="B11" i="14"/>
  <c r="B10" i="14"/>
  <c r="A18" i="14"/>
  <c r="A17" i="14"/>
  <c r="A16" i="14"/>
  <c r="A15" i="14"/>
  <c r="A14" i="14"/>
  <c r="A13" i="14"/>
  <c r="A12" i="14"/>
  <c r="A11" i="14"/>
  <c r="A10" i="14"/>
  <c r="E12" i="4"/>
  <c r="B13" i="4"/>
  <c r="B12" i="4"/>
  <c r="B11" i="4"/>
  <c r="B10" i="4"/>
  <c r="B9" i="4"/>
  <c r="B8" i="4"/>
  <c r="B6" i="4"/>
  <c r="B5" i="4"/>
  <c r="B4" i="4"/>
  <c r="B3" i="4"/>
  <c r="AF6" i="22" l="1"/>
  <c r="F13" i="4"/>
  <c r="Y28" i="23"/>
  <c r="Z28" i="23"/>
  <c r="AA28" i="23"/>
  <c r="AC28" i="23"/>
  <c r="Q28" i="23"/>
  <c r="R28" i="23"/>
  <c r="S28" i="23"/>
  <c r="T28" i="23"/>
  <c r="P6" i="22"/>
  <c r="J6" i="22"/>
  <c r="H6" i="22"/>
  <c r="R6" i="22"/>
  <c r="S6" i="22"/>
  <c r="U6" i="22"/>
  <c r="V6" i="22"/>
  <c r="T6" i="22"/>
  <c r="W6" i="22"/>
  <c r="I6" i="22"/>
  <c r="Y6" i="22"/>
  <c r="Z6" i="22"/>
  <c r="K6" i="22"/>
  <c r="AA6" i="22"/>
  <c r="L6" i="22"/>
  <c r="AB6" i="22"/>
  <c r="X6" i="22"/>
  <c r="M6" i="22"/>
  <c r="AC6" i="22"/>
  <c r="N6" i="22"/>
  <c r="AD6" i="22"/>
  <c r="O6" i="22"/>
  <c r="AE6" i="22"/>
  <c r="Q6" i="22"/>
  <c r="D7" i="22"/>
  <c r="D7" i="21"/>
  <c r="D6" i="21"/>
  <c r="AE7" i="15" l="1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6" i="15"/>
  <c r="E6" i="4"/>
  <c r="E5" i="4"/>
  <c r="F7" i="4"/>
  <c r="C7" i="4"/>
  <c r="G7" i="4"/>
  <c r="AB3" i="15"/>
  <c r="AC3" i="15"/>
  <c r="AD3" i="15"/>
  <c r="AE3" i="15"/>
  <c r="AB5" i="15"/>
  <c r="AC5" i="15"/>
  <c r="AD5" i="15"/>
  <c r="AE5" i="15"/>
  <c r="W3" i="15"/>
  <c r="X3" i="15"/>
  <c r="Y3" i="15"/>
  <c r="Z3" i="15"/>
  <c r="AA3" i="15"/>
  <c r="W5" i="15"/>
  <c r="X5" i="15"/>
  <c r="Y5" i="15"/>
  <c r="Z5" i="15"/>
  <c r="AA5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F5" i="15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L6" i="15" l="1"/>
  <c r="H6" i="15"/>
  <c r="I6" i="15"/>
  <c r="K6" i="15"/>
  <c r="N6" i="15"/>
  <c r="P6" i="15"/>
  <c r="Q6" i="15"/>
  <c r="T6" i="15"/>
  <c r="X6" i="15"/>
  <c r="AA6" i="15"/>
  <c r="AC6" i="15"/>
  <c r="S6" i="15"/>
  <c r="R6" i="15"/>
  <c r="Y6" i="15"/>
  <c r="C17" i="19" l="1"/>
  <c r="E13" i="4" s="1"/>
  <c r="C14" i="19"/>
  <c r="C11" i="19"/>
  <c r="E11" i="4" s="1"/>
  <c r="C9" i="19"/>
  <c r="E10" i="4" s="1"/>
  <c r="C5" i="19"/>
  <c r="E9" i="4" s="1"/>
  <c r="C3" i="19"/>
  <c r="E8" i="4" s="1"/>
  <c r="D18" i="14"/>
  <c r="D17" i="14"/>
  <c r="D16" i="14"/>
  <c r="D15" i="14"/>
  <c r="D14" i="14"/>
  <c r="D13" i="14"/>
  <c r="D12" i="14"/>
  <c r="D14" i="15"/>
  <c r="D12" i="15"/>
  <c r="D13" i="15"/>
  <c r="F4" i="4" s="1"/>
  <c r="D15" i="15"/>
  <c r="D16" i="15"/>
  <c r="D17" i="15"/>
  <c r="F5" i="4" s="1"/>
  <c r="D18" i="15"/>
  <c r="D11" i="15"/>
  <c r="G2" i="4"/>
  <c r="C2" i="4"/>
  <c r="D2" i="4"/>
  <c r="C3" i="9"/>
  <c r="E3" i="4" s="1"/>
  <c r="G5" i="15"/>
  <c r="E5" i="15"/>
  <c r="G3" i="15"/>
  <c r="F3" i="15"/>
  <c r="E3" i="15"/>
  <c r="E7" i="4" l="1"/>
  <c r="C2" i="19"/>
  <c r="J6" i="15"/>
  <c r="AB6" i="15"/>
  <c r="AD6" i="15"/>
  <c r="AE6" i="15"/>
  <c r="O6" i="15"/>
  <c r="M6" i="15"/>
  <c r="W6" i="15"/>
  <c r="Z6" i="15"/>
  <c r="V6" i="15"/>
  <c r="U6" i="15"/>
  <c r="D6" i="14"/>
  <c r="D7" i="15"/>
  <c r="F2" i="4" l="1"/>
  <c r="D7" i="14"/>
  <c r="H3" i="14"/>
  <c r="G3" i="14"/>
  <c r="F3" i="14"/>
  <c r="E3" i="14"/>
  <c r="E5" i="14"/>
  <c r="F5" i="14"/>
  <c r="C14" i="9"/>
  <c r="C10" i="9"/>
  <c r="C7" i="9"/>
  <c r="E4" i="4" l="1"/>
  <c r="E2" i="4" s="1"/>
  <c r="C2" i="9"/>
  <c r="G5" i="14"/>
  <c r="B27" i="16" l="1"/>
  <c r="C29" i="16" s="1"/>
  <c r="H5" i="14"/>
  <c r="D29" i="23" l="1"/>
  <c r="C29" i="23"/>
  <c r="G29" i="23" l="1"/>
  <c r="AB29" i="16"/>
  <c r="Q29" i="16"/>
  <c r="AC29" i="16"/>
  <c r="T29" i="16"/>
  <c r="Z29" i="16"/>
  <c r="M29" i="16"/>
  <c r="G29" i="16"/>
  <c r="W29" i="16"/>
  <c r="F29" i="16"/>
  <c r="N29" i="16"/>
  <c r="Y29" i="16"/>
  <c r="J29" i="16"/>
  <c r="K29" i="16"/>
  <c r="O29" i="16"/>
  <c r="R29" i="16"/>
  <c r="P29" i="16"/>
  <c r="E29" i="16"/>
  <c r="S29" i="16"/>
  <c r="H29" i="16"/>
  <c r="U29" i="16"/>
  <c r="AA29" i="16"/>
  <c r="I29" i="16"/>
  <c r="X29" i="16"/>
  <c r="V29" i="16"/>
  <c r="L29" i="16"/>
  <c r="K29" i="23"/>
  <c r="X29" i="23"/>
  <c r="H29" i="23"/>
  <c r="P29" i="23"/>
  <c r="AB29" i="23"/>
  <c r="R29" i="23"/>
  <c r="M29" i="23"/>
  <c r="J29" i="23"/>
  <c r="E29" i="23"/>
  <c r="AA29" i="23"/>
  <c r="I29" i="23"/>
  <c r="L29" i="23"/>
  <c r="Q29" i="23"/>
  <c r="AD29" i="23"/>
  <c r="AC29" i="23"/>
  <c r="U29" i="23"/>
  <c r="S29" i="23"/>
  <c r="T29" i="23"/>
  <c r="F29" i="23"/>
  <c r="W29" i="23"/>
  <c r="Z29" i="23"/>
  <c r="V29" i="23"/>
  <c r="N29" i="23"/>
  <c r="Y29" i="23"/>
  <c r="D29" i="16"/>
  <c r="O29" i="23"/>
</calcChain>
</file>

<file path=xl/sharedStrings.xml><?xml version="1.0" encoding="utf-8"?>
<sst xmlns="http://schemas.openxmlformats.org/spreadsheetml/2006/main" count="217" uniqueCount="131">
  <si>
    <t>ID</t>
  </si>
  <si>
    <t>Nombre</t>
  </si>
  <si>
    <t>Estimado</t>
  </si>
  <si>
    <t>Notas</t>
  </si>
  <si>
    <t>ID0001</t>
  </si>
  <si>
    <t>ID0002</t>
  </si>
  <si>
    <t>ID0003</t>
  </si>
  <si>
    <t>ID0004</t>
  </si>
  <si>
    <t>Sprint</t>
  </si>
  <si>
    <t>ID0006</t>
  </si>
  <si>
    <t>ID0005</t>
  </si>
  <si>
    <t>ID0007</t>
  </si>
  <si>
    <t>ID002_T1</t>
  </si>
  <si>
    <t>ID002_T2</t>
  </si>
  <si>
    <t>ID003_T1</t>
  </si>
  <si>
    <t>ID003_T2</t>
  </si>
  <si>
    <t>ID004_T1</t>
  </si>
  <si>
    <t>ID005_T1</t>
  </si>
  <si>
    <t>ID006_T1</t>
  </si>
  <si>
    <t>ID006_T2</t>
  </si>
  <si>
    <t>ID007_T1</t>
  </si>
  <si>
    <t>ID007_T2</t>
  </si>
  <si>
    <t>Imp</t>
  </si>
  <si>
    <t>Estado</t>
  </si>
  <si>
    <t>ID0008</t>
  </si>
  <si>
    <t>Rol</t>
  </si>
  <si>
    <t>Fecha Prevista</t>
  </si>
  <si>
    <t>Fecha Real</t>
  </si>
  <si>
    <t>Sprint 1</t>
  </si>
  <si>
    <t>Responsabilidad</t>
  </si>
  <si>
    <t>Realizado</t>
  </si>
  <si>
    <t>Tareas pendientes</t>
  </si>
  <si>
    <t>Horas de trabajo pendientes</t>
  </si>
  <si>
    <t>ESFUERZO</t>
  </si>
  <si>
    <t>Responable</t>
  </si>
  <si>
    <t>Calendario de la iteración</t>
  </si>
  <si>
    <t>Tiempo a Dedicar Total</t>
  </si>
  <si>
    <t>Tiempo a Dedicar Diario</t>
  </si>
  <si>
    <t>Tiempo Restante</t>
  </si>
  <si>
    <t>Acumulado</t>
  </si>
  <si>
    <t>Sprints</t>
  </si>
  <si>
    <t>Miembros del equipo</t>
  </si>
  <si>
    <t>Scrum Manager</t>
  </si>
  <si>
    <t>Scrum Team</t>
  </si>
  <si>
    <t xml:space="preserve">Descripción del contexto </t>
  </si>
  <si>
    <t>Velocidad</t>
  </si>
  <si>
    <t>¿QUÉ HA IDO BIEN EN LA INTERACCIÓN?</t>
  </si>
  <si>
    <t>¿QUÉ ES MEJORABLE?</t>
  </si>
  <si>
    <t>ACCIONES DE MEJORA</t>
  </si>
  <si>
    <t>Meta</t>
  </si>
  <si>
    <t>Conclusiones</t>
  </si>
  <si>
    <t>Product Owner</t>
  </si>
  <si>
    <t>Rodrigo</t>
  </si>
  <si>
    <t>Angelo</t>
  </si>
  <si>
    <t>Iván</t>
  </si>
  <si>
    <t>Sprint 2</t>
  </si>
  <si>
    <t>Como Usuario quiero interactuar con poké balls para sentirme inmerso en la experiencia</t>
  </si>
  <si>
    <t>Como Usuario quiero cada objeto escalado adecuadamente para poseer una percepción realista</t>
  </si>
  <si>
    <t>Como Usuario quiero visualizar cuadros que contextualicen la saga para entender su evolución</t>
  </si>
  <si>
    <t>ID003_T3</t>
  </si>
  <si>
    <t>Se reproduce una animación de "apertura" al llegar al suelo</t>
  </si>
  <si>
    <t>Las Poké Balls se pueden coger y lanzar</t>
  </si>
  <si>
    <t>Los objetos mantienen proporciones coherentes con el espacio del museo</t>
  </si>
  <si>
    <t>Galería con línea de tiempo de la historia de Pokémon</t>
  </si>
  <si>
    <t>Funcionalidad Play/Pause y control de volumen</t>
  </si>
  <si>
    <t>Efecto de atenuación (fade-in/fade-out)</t>
  </si>
  <si>
    <t>Sistema de localización/internacionalización</t>
  </si>
  <si>
    <t>Título del proyecto: Pokemon Legacy</t>
  </si>
  <si>
    <t>Configurar la base visual e interactiva básica del museo</t>
  </si>
  <si>
    <t>Enriquecer la experiencia con ambientación y contenido educativo</t>
  </si>
  <si>
    <t>Un museo que invita a futuros empleados a descubrir la historia, innovación y valores de The Pokémon Company, conectándolos con la esencia y legado de esta icónica franquicia</t>
  </si>
  <si>
    <t>Integración en Unity</t>
  </si>
  <si>
    <t>Configurar la carga de modelos desde GitHub</t>
  </si>
  <si>
    <t>Gestión de errores y pruebas</t>
  </si>
  <si>
    <t>Obtener feedback para el siguiente sprint</t>
  </si>
  <si>
    <t>finished</t>
  </si>
  <si>
    <t>not finished</t>
  </si>
  <si>
    <t>Sobreestimación del tiempo disponible</t>
  </si>
  <si>
    <t>Incompatibilidad de modelos</t>
  </si>
  <si>
    <t>Incompatibilidad de modelos + Creación de materiales para texturas problemáticas</t>
  </si>
  <si>
    <t>Creación de materiales para texturas problemáticas</t>
  </si>
  <si>
    <t>ID001_T1</t>
  </si>
  <si>
    <t>ID001_T3</t>
  </si>
  <si>
    <t>ID001_T2</t>
  </si>
  <si>
    <t xml:space="preserve"> Hemos implementado gran parte de la funcionalidad prevista en las hu's</t>
  </si>
  <si>
    <t>Estimación del tiempo</t>
  </si>
  <si>
    <t>A la hora de estimar tener en cuenta que no estamos demasiado familiarizados con Unity</t>
  </si>
  <si>
    <t>Hemos logrado una buena capacidad de trabajo</t>
  </si>
  <si>
    <t>Aprender más sobre Plastic SCM</t>
  </si>
  <si>
    <t>Gestión de conflictos en Plastic SCM</t>
  </si>
  <si>
    <t>Priorizar funcionalidades sobre visuales</t>
  </si>
  <si>
    <t>Como Usuario quiero que modelos 3D se carguen desde GitHub para facilitar un repositorio</t>
  </si>
  <si>
    <t>Las Poké Balls emiten sonido al colisionar con una superficie</t>
  </si>
  <si>
    <t>Se reproduce una animación de "apertura" al colisionar con una superficie</t>
  </si>
  <si>
    <t>Como Usuario quiero disponer de un botón que reproduzca música para ambientar la experiencia</t>
  </si>
  <si>
    <t>Botón ubicado en zona estratégica</t>
  </si>
  <si>
    <t>Como Usuario quiero iluminar estatuas al acercarme para llamar mi atención</t>
  </si>
  <si>
    <t>Luces se encienden al acercarse a estatuas</t>
  </si>
  <si>
    <t>Sistema de preguntas basado en siluetas de Pokémon</t>
  </si>
  <si>
    <t>Las Poké Balls emiten sonido y partículas</t>
  </si>
  <si>
    <t>Como Usuario quiero añadir mini-quiz internacional para probar mis conocimientos</t>
  </si>
  <si>
    <t>Feedback visual</t>
  </si>
  <si>
    <t>Como Usuario quiero visualizar estatuas de pokémons, objetos y cartas para reconocer emblemas de la saga</t>
  </si>
  <si>
    <t>Estatuas (Pikachu, Charmander, Bulbasaur y Squirtle), objetos y cartas se muestran en zonas designadas del museo</t>
  </si>
  <si>
    <t>Tooltip interactivo con nombre y descripción del Pokémon/objeto/carta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</si>
  <si>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</si>
  <si>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</si>
  <si>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</si>
  <si>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</si>
  <si>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</si>
  <si>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</si>
  <si>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</si>
  <si>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</si>
  <si>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ID008_T1</t>
  </si>
  <si>
    <t>ID008_T2</t>
  </si>
  <si>
    <t>ID008_T3</t>
  </si>
  <si>
    <t xml:space="preserve"> Hemos logrado finalizar el proyecto exitosamente</t>
  </si>
  <si>
    <t>Hemos logrado una óptima capacidad de trabajo</t>
  </si>
  <si>
    <t>Hemos mejorado en la gestión de conflictos</t>
  </si>
  <si>
    <t>Hemos planificado y priorizado las tareas correctamente</t>
  </si>
  <si>
    <t>Mayor comunicación mediante reuniones</t>
  </si>
  <si>
    <t>Mejor compresión de la teoría</t>
  </si>
  <si>
    <t>Mayor exploración de Unity</t>
  </si>
  <si>
    <t>Planificar con más frecuencia reuniones</t>
  </si>
  <si>
    <t>Proactividad en la realización del proyecto</t>
  </si>
  <si>
    <t>Mayor obtención de feedback</t>
  </si>
  <si>
    <t>Ampliar e investigar posibles funcionalidades del proyecto</t>
  </si>
  <si>
    <t>Finalización exitosa del proyecto</t>
  </si>
  <si>
    <t>Define qué debe construirse y prioriza el backlog para maximizar el valor del producto</t>
  </si>
  <si>
    <t>Construye el producto cumpliendo los objetivos del sprint con autonomía y colaboración</t>
  </si>
  <si>
    <t>Facilita el proceso Scrum, elimina impedimentos y ayuda al equipo a trabajar de forma 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</si>
</sst>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d\-mmm;@"/>
    <numFmt numFmtId="165" formatCode="[$-C0A]d\-mmm\-yy;@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4"/>
      <color rgb="FF002060"/>
      <name val="Calibri"/>
      <family val="2"/>
      <scheme val="minor"/>
    </font>
    <font>
      <sz val="10"/>
      <color indexed="23"/>
      <name val="Arial"/>
      <family val="2"/>
    </font>
    <font>
      <sz val="12"/>
      <name val="Arial"/>
      <family val="2"/>
    </font>
    <font>
      <sz val="14"/>
      <color rgb="FF002060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theme="3" tint="-0.249977111117893"/>
      <name val="Arial"/>
      <family val="2"/>
    </font>
    <font>
      <sz val="11"/>
      <color theme="3" tint="-0.249977111117893"/>
      <name val="Calibri"/>
      <family val="2"/>
      <scheme val="minor"/>
    </font>
    <font>
      <b/>
      <sz val="14"/>
      <color theme="3" tint="-0.249977111117893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16" fontId="0" fillId="0" borderId="0" xfId="0" applyNumberFormat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5" fillId="0" borderId="0" xfId="0" applyFont="1"/>
    <xf numFmtId="16" fontId="0" fillId="0" borderId="0" xfId="0" applyNumberFormat="1" applyAlignment="1">
      <alignment wrapText="1"/>
    </xf>
    <xf numFmtId="16" fontId="0" fillId="0" borderId="0" xfId="0" applyNumberFormat="1" applyAlignment="1">
      <alignment horizontal="right" wrapText="1"/>
    </xf>
    <xf numFmtId="0" fontId="0" fillId="0" borderId="0" xfId="0" quotePrefix="1"/>
    <xf numFmtId="0" fontId="0" fillId="0" borderId="0" xfId="0" applyAlignment="1">
      <alignment horizontal="left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0" borderId="0" xfId="2"/>
    <xf numFmtId="164" fontId="4" fillId="0" borderId="0" xfId="2" applyNumberFormat="1"/>
    <xf numFmtId="0" fontId="7" fillId="8" borderId="10" xfId="2" applyFont="1" applyFill="1" applyBorder="1" applyAlignment="1">
      <alignment horizontal="center"/>
    </xf>
    <xf numFmtId="0" fontId="4" fillId="0" borderId="0" xfId="2" applyAlignment="1">
      <alignment horizontal="center" vertical="justify"/>
    </xf>
    <xf numFmtId="164" fontId="7" fillId="8" borderId="10" xfId="2" applyNumberFormat="1" applyFont="1" applyFill="1" applyBorder="1" applyAlignment="1">
      <alignment horizontal="center" vertical="justify" textRotation="90"/>
    </xf>
    <xf numFmtId="1" fontId="4" fillId="9" borderId="10" xfId="2" applyNumberFormat="1" applyFill="1" applyBorder="1" applyAlignment="1">
      <alignment horizontal="center" vertical="justify"/>
    </xf>
    <xf numFmtId="0" fontId="8" fillId="0" borderId="0" xfId="2" applyFont="1" applyAlignment="1">
      <alignment vertical="center"/>
    </xf>
    <xf numFmtId="166" fontId="8" fillId="2" borderId="10" xfId="2" applyNumberFormat="1" applyFont="1" applyFill="1" applyBorder="1" applyAlignment="1">
      <alignment horizontal="right" vertical="justify"/>
    </xf>
    <xf numFmtId="1" fontId="8" fillId="10" borderId="10" xfId="2" applyNumberFormat="1" applyFont="1" applyFill="1" applyBorder="1" applyAlignment="1">
      <alignment horizontal="right" vertical="justify"/>
    </xf>
    <xf numFmtId="166" fontId="8" fillId="2" borderId="10" xfId="2" applyNumberFormat="1" applyFont="1" applyFill="1" applyBorder="1"/>
    <xf numFmtId="0" fontId="8" fillId="10" borderId="10" xfId="2" applyFont="1" applyFill="1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166" fontId="4" fillId="0" borderId="0" xfId="2" applyNumberFormat="1"/>
    <xf numFmtId="166" fontId="7" fillId="8" borderId="10" xfId="2" applyNumberFormat="1" applyFont="1" applyFill="1" applyBorder="1" applyAlignment="1">
      <alignment horizontal="center"/>
    </xf>
    <xf numFmtId="166" fontId="4" fillId="9" borderId="10" xfId="2" applyNumberFormat="1" applyFill="1" applyBorder="1" applyAlignment="1">
      <alignment horizontal="center" vertical="justify"/>
    </xf>
    <xf numFmtId="166" fontId="8" fillId="10" borderId="10" xfId="2" applyNumberFormat="1" applyFont="1" applyFill="1" applyBorder="1" applyAlignment="1">
      <alignment horizontal="right" vertical="justify"/>
    </xf>
    <xf numFmtId="166" fontId="8" fillId="10" borderId="10" xfId="2" applyNumberFormat="1" applyFont="1" applyFill="1" applyBorder="1" applyAlignment="1">
      <alignment horizontal="right"/>
    </xf>
    <xf numFmtId="166" fontId="0" fillId="0" borderId="0" xfId="0" applyNumberFormat="1" applyAlignment="1">
      <alignment wrapText="1"/>
    </xf>
    <xf numFmtId="0" fontId="10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165" fontId="7" fillId="0" borderId="0" xfId="2" applyNumberFormat="1" applyFont="1" applyAlignment="1">
      <alignment horizontal="center"/>
    </xf>
    <xf numFmtId="1" fontId="7" fillId="0" borderId="0" xfId="2" applyNumberFormat="1" applyFont="1" applyAlignment="1">
      <alignment horizontal="center"/>
    </xf>
    <xf numFmtId="0" fontId="2" fillId="11" borderId="4" xfId="0" applyFont="1" applyFill="1" applyBorder="1"/>
    <xf numFmtId="0" fontId="2" fillId="11" borderId="5" xfId="0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0" fontId="2" fillId="11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3" xfId="0" applyFont="1" applyBorder="1"/>
    <xf numFmtId="0" fontId="14" fillId="12" borderId="14" xfId="0" applyFont="1" applyFill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left"/>
    </xf>
    <xf numFmtId="0" fontId="2" fillId="11" borderId="8" xfId="0" applyFont="1" applyFill="1" applyBorder="1"/>
    <xf numFmtId="0" fontId="2" fillId="11" borderId="9" xfId="0" applyFont="1" applyFill="1" applyBorder="1"/>
    <xf numFmtId="14" fontId="0" fillId="0" borderId="14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20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4" borderId="14" xfId="0" applyFill="1" applyBorder="1" applyAlignment="1">
      <alignment wrapText="1"/>
    </xf>
    <xf numFmtId="0" fontId="6" fillId="4" borderId="14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18" xfId="0" applyBorder="1" applyAlignment="1">
      <alignment horizontal="left" wrapText="1"/>
    </xf>
    <xf numFmtId="0" fontId="14" fillId="0" borderId="1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9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10" fontId="6" fillId="4" borderId="2" xfId="0" applyNumberFormat="1" applyFont="1" applyFill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0" fillId="0" borderId="14" xfId="0" quotePrefix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2" fontId="8" fillId="0" borderId="0" xfId="2" applyNumberFormat="1" applyFont="1" applyAlignment="1">
      <alignment vertical="center"/>
    </xf>
    <xf numFmtId="0" fontId="0" fillId="0" borderId="14" xfId="0" quotePrefix="1" applyBorder="1" applyAlignment="1">
      <alignment wrapText="1"/>
    </xf>
    <xf numFmtId="0" fontId="3" fillId="6" borderId="2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15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vertical="center"/>
    </xf>
    <xf numFmtId="0" fontId="8" fillId="0" borderId="11" xfId="2" applyFont="1" applyBorder="1" applyAlignment="1">
      <alignment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8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mruColors>
      <color rgb="FFCB00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Esfuerzo previsto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'Burns-Sprint1'!$C$27:$AC$27</c:f>
              <c:numCache>
                <c:formatCode>[$-C0A]d\-mmm;@</c:formatCode>
                <c:ptCount val="27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</c:numCache>
            </c:numRef>
          </c:cat>
          <c:val>
            <c:numRef>
              <c:f>'Burns-Sprint1'!$C$29:$AC$29</c:f>
              <c:numCache>
                <c:formatCode>0.00</c:formatCode>
                <c:ptCount val="27"/>
                <c:pt idx="0">
                  <c:v>24</c:v>
                </c:pt>
                <c:pt idx="1">
                  <c:v>22.222222222222221</c:v>
                </c:pt>
                <c:pt idx="2">
                  <c:v>21.333333333333332</c:v>
                </c:pt>
                <c:pt idx="3">
                  <c:v>20.444444444444443</c:v>
                </c:pt>
                <c:pt idx="4">
                  <c:v>19.555555555555557</c:v>
                </c:pt>
                <c:pt idx="5">
                  <c:v>18.666666666666664</c:v>
                </c:pt>
                <c:pt idx="6">
                  <c:v>17.777777777777779</c:v>
                </c:pt>
                <c:pt idx="7">
                  <c:v>16.888888888888886</c:v>
                </c:pt>
                <c:pt idx="8">
                  <c:v>15.999999999999998</c:v>
                </c:pt>
                <c:pt idx="9">
                  <c:v>15.111111111111109</c:v>
                </c:pt>
                <c:pt idx="10">
                  <c:v>14.22222222222222</c:v>
                </c:pt>
                <c:pt idx="11">
                  <c:v>13.33333333333333</c:v>
                </c:pt>
                <c:pt idx="12">
                  <c:v>12.444444444444441</c:v>
                </c:pt>
                <c:pt idx="13">
                  <c:v>11.555555555555552</c:v>
                </c:pt>
                <c:pt idx="14">
                  <c:v>10.666666666666663</c:v>
                </c:pt>
                <c:pt idx="15">
                  <c:v>9.7777777777777732</c:v>
                </c:pt>
                <c:pt idx="16">
                  <c:v>8.888888888888884</c:v>
                </c:pt>
                <c:pt idx="17">
                  <c:v>7.9999999999999964</c:v>
                </c:pt>
                <c:pt idx="18">
                  <c:v>7.1111111111111072</c:v>
                </c:pt>
                <c:pt idx="19">
                  <c:v>6.2222222222222179</c:v>
                </c:pt>
                <c:pt idx="20">
                  <c:v>5.3333333333333286</c:v>
                </c:pt>
                <c:pt idx="21">
                  <c:v>4.4444444444444393</c:v>
                </c:pt>
                <c:pt idx="22">
                  <c:v>3.55555555555555</c:v>
                </c:pt>
                <c:pt idx="23">
                  <c:v>2.6666666666666607</c:v>
                </c:pt>
                <c:pt idx="24">
                  <c:v>1.7777777777777715</c:v>
                </c:pt>
                <c:pt idx="25">
                  <c:v>0.88888888888888218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8-41E5-A58C-0B14D6FC473A}"/>
            </c:ext>
          </c:extLst>
        </c:ser>
        <c:ser>
          <c:idx val="1"/>
          <c:order val="1"/>
          <c:tx>
            <c:v>Esfuerzo restante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'Burns-Sprint1'!$C$27:$AC$27</c:f>
              <c:numCache>
                <c:formatCode>[$-C0A]d\-mmm;@</c:formatCode>
                <c:ptCount val="27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</c:numCache>
            </c:numRef>
          </c:cat>
          <c:val>
            <c:numRef>
              <c:f>'Diario-Restante-Sprint1'!$E$7:$AE$7</c:f>
              <c:numCache>
                <c:formatCode>0.0</c:formatCode>
                <c:ptCount val="27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18</c:v>
                </c:pt>
                <c:pt idx="17">
                  <c:v>13</c:v>
                </c:pt>
                <c:pt idx="18">
                  <c:v>13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8-41E5-A58C-0B14D6FC4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4619408"/>
        <c:axId val="44617728"/>
      </c:lineChart>
      <c:dateAx>
        <c:axId val="44619408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617728"/>
        <c:crosses val="autoZero"/>
        <c:auto val="1"/>
        <c:lblOffset val="100"/>
        <c:baseTimeUnit val="days"/>
      </c:dateAx>
      <c:valAx>
        <c:axId val="446177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6194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Acumulado</c:v>
          </c:tx>
          <c:marker>
            <c:symbol val="none"/>
          </c:marker>
          <c:cat>
            <c:numRef>
              <c:f>'Burns-Sprint1'!$C$27:$AC$27</c:f>
              <c:numCache>
                <c:formatCode>[$-C0A]d\-mmm;@</c:formatCode>
                <c:ptCount val="27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</c:numCache>
            </c:numRef>
          </c:cat>
          <c:val>
            <c:numRef>
              <c:f>'Diario-Realizado-Sprint1'!$E$6:$AE$6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8</c:v>
                </c:pt>
                <c:pt idx="17">
                  <c:v>14</c:v>
                </c:pt>
                <c:pt idx="18">
                  <c:v>16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30</c:v>
                </c:pt>
                <c:pt idx="25">
                  <c:v>30</c:v>
                </c:pt>
                <c:pt idx="2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3-49D5-94E6-7FD91FF94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16048"/>
        <c:axId val="315467440"/>
      </c:lineChart>
      <c:dateAx>
        <c:axId val="44616048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crossAx val="315467440"/>
        <c:crosses val="autoZero"/>
        <c:auto val="1"/>
        <c:lblOffset val="100"/>
        <c:baseTimeUnit val="days"/>
      </c:dateAx>
      <c:valAx>
        <c:axId val="315467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4616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Esfuerzo previsto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'Burns-Sprint2'!$C$27:$AD$27</c:f>
              <c:numCache>
                <c:formatCode>[$-C0A]d\-mmm;@</c:formatCode>
                <c:ptCount val="28"/>
                <c:pt idx="0">
                  <c:v>45958</c:v>
                </c:pt>
                <c:pt idx="1">
                  <c:v>45959</c:v>
                </c:pt>
                <c:pt idx="2">
                  <c:v>45960</c:v>
                </c:pt>
                <c:pt idx="3">
                  <c:v>45961</c:v>
                </c:pt>
                <c:pt idx="4">
                  <c:v>45962</c:v>
                </c:pt>
                <c:pt idx="5">
                  <c:v>45963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  <c:pt idx="10">
                  <c:v>45968</c:v>
                </c:pt>
                <c:pt idx="11">
                  <c:v>45969</c:v>
                </c:pt>
                <c:pt idx="12">
                  <c:v>45970</c:v>
                </c:pt>
                <c:pt idx="13">
                  <c:v>45971</c:v>
                </c:pt>
                <c:pt idx="14">
                  <c:v>45972</c:v>
                </c:pt>
                <c:pt idx="15">
                  <c:v>45973</c:v>
                </c:pt>
                <c:pt idx="16">
                  <c:v>45974</c:v>
                </c:pt>
                <c:pt idx="17">
                  <c:v>45975</c:v>
                </c:pt>
                <c:pt idx="18">
                  <c:v>45976</c:v>
                </c:pt>
                <c:pt idx="19">
                  <c:v>45977</c:v>
                </c:pt>
                <c:pt idx="20">
                  <c:v>45978</c:v>
                </c:pt>
                <c:pt idx="21">
                  <c:v>45979</c:v>
                </c:pt>
                <c:pt idx="22">
                  <c:v>45980</c:v>
                </c:pt>
                <c:pt idx="23">
                  <c:v>45981</c:v>
                </c:pt>
                <c:pt idx="24">
                  <c:v>45982</c:v>
                </c:pt>
                <c:pt idx="25">
                  <c:v>45983</c:v>
                </c:pt>
                <c:pt idx="26">
                  <c:v>45984</c:v>
                </c:pt>
                <c:pt idx="27">
                  <c:v>45985</c:v>
                </c:pt>
              </c:numCache>
            </c:numRef>
          </c:cat>
          <c:val>
            <c:numRef>
              <c:f>'Burns-Sprint2'!$C$29:$AD$29</c:f>
              <c:numCache>
                <c:formatCode>0.00</c:formatCode>
                <c:ptCount val="28"/>
                <c:pt idx="0">
                  <c:v>37</c:v>
                </c:pt>
                <c:pt idx="1">
                  <c:v>34.357142857142854</c:v>
                </c:pt>
                <c:pt idx="2">
                  <c:v>33.035714285714285</c:v>
                </c:pt>
                <c:pt idx="3">
                  <c:v>31.714285714285715</c:v>
                </c:pt>
                <c:pt idx="4">
                  <c:v>30.392857142857142</c:v>
                </c:pt>
                <c:pt idx="5">
                  <c:v>29.071428571428573</c:v>
                </c:pt>
                <c:pt idx="6">
                  <c:v>27.75</c:v>
                </c:pt>
                <c:pt idx="7">
                  <c:v>26.428571428571431</c:v>
                </c:pt>
                <c:pt idx="8">
                  <c:v>25.107142857142858</c:v>
                </c:pt>
                <c:pt idx="9">
                  <c:v>23.785714285714285</c:v>
                </c:pt>
                <c:pt idx="10">
                  <c:v>22.464285714285715</c:v>
                </c:pt>
                <c:pt idx="11">
                  <c:v>21.142857142857146</c:v>
                </c:pt>
                <c:pt idx="12">
                  <c:v>19.821428571428573</c:v>
                </c:pt>
                <c:pt idx="13">
                  <c:v>18.5</c:v>
                </c:pt>
                <c:pt idx="14">
                  <c:v>17.178571428571427</c:v>
                </c:pt>
                <c:pt idx="15">
                  <c:v>15.857142857142854</c:v>
                </c:pt>
                <c:pt idx="16">
                  <c:v>14.535714285714281</c:v>
                </c:pt>
                <c:pt idx="17">
                  <c:v>13.214285714285708</c:v>
                </c:pt>
                <c:pt idx="18">
                  <c:v>11.892857142857135</c:v>
                </c:pt>
                <c:pt idx="19">
                  <c:v>10.571428571428562</c:v>
                </c:pt>
                <c:pt idx="20">
                  <c:v>9.2499999999999893</c:v>
                </c:pt>
                <c:pt idx="21">
                  <c:v>7.9285714285714164</c:v>
                </c:pt>
                <c:pt idx="22">
                  <c:v>6.6071428571428434</c:v>
                </c:pt>
                <c:pt idx="23">
                  <c:v>5.2857142857142705</c:v>
                </c:pt>
                <c:pt idx="24">
                  <c:v>3.9642857142857011</c:v>
                </c:pt>
                <c:pt idx="25">
                  <c:v>2.6428571428571317</c:v>
                </c:pt>
                <c:pt idx="26">
                  <c:v>1.3214285714285623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0-41FB-B38F-D4FC2BB31ABE}"/>
            </c:ext>
          </c:extLst>
        </c:ser>
        <c:ser>
          <c:idx val="1"/>
          <c:order val="1"/>
          <c:tx>
            <c:v>Esfuerzo restante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'Burns-Sprint2'!$C$27:$AD$27</c:f>
              <c:numCache>
                <c:formatCode>[$-C0A]d\-mmm;@</c:formatCode>
                <c:ptCount val="28"/>
                <c:pt idx="0">
                  <c:v>45958</c:v>
                </c:pt>
                <c:pt idx="1">
                  <c:v>45959</c:v>
                </c:pt>
                <c:pt idx="2">
                  <c:v>45960</c:v>
                </c:pt>
                <c:pt idx="3">
                  <c:v>45961</c:v>
                </c:pt>
                <c:pt idx="4">
                  <c:v>45962</c:v>
                </c:pt>
                <c:pt idx="5">
                  <c:v>45963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  <c:pt idx="10">
                  <c:v>45968</c:v>
                </c:pt>
                <c:pt idx="11">
                  <c:v>45969</c:v>
                </c:pt>
                <c:pt idx="12">
                  <c:v>45970</c:v>
                </c:pt>
                <c:pt idx="13">
                  <c:v>45971</c:v>
                </c:pt>
                <c:pt idx="14">
                  <c:v>45972</c:v>
                </c:pt>
                <c:pt idx="15">
                  <c:v>45973</c:v>
                </c:pt>
                <c:pt idx="16">
                  <c:v>45974</c:v>
                </c:pt>
                <c:pt idx="17">
                  <c:v>45975</c:v>
                </c:pt>
                <c:pt idx="18">
                  <c:v>45976</c:v>
                </c:pt>
                <c:pt idx="19">
                  <c:v>45977</c:v>
                </c:pt>
                <c:pt idx="20">
                  <c:v>45978</c:v>
                </c:pt>
                <c:pt idx="21">
                  <c:v>45979</c:v>
                </c:pt>
                <c:pt idx="22">
                  <c:v>45980</c:v>
                </c:pt>
                <c:pt idx="23">
                  <c:v>45981</c:v>
                </c:pt>
                <c:pt idx="24">
                  <c:v>45982</c:v>
                </c:pt>
                <c:pt idx="25">
                  <c:v>45983</c:v>
                </c:pt>
                <c:pt idx="26">
                  <c:v>45984</c:v>
                </c:pt>
                <c:pt idx="27">
                  <c:v>45985</c:v>
                </c:pt>
              </c:numCache>
            </c:numRef>
          </c:cat>
          <c:val>
            <c:numRef>
              <c:f>'Diario-Restante-Sprint2'!$E$7:$AF$7</c:f>
              <c:numCache>
                <c:formatCode>0.0</c:formatCode>
                <c:ptCount val="28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32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28</c:v>
                </c:pt>
                <c:pt idx="11">
                  <c:v>21</c:v>
                </c:pt>
                <c:pt idx="12">
                  <c:v>21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14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0-41FB-B38F-D4FC2BB31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4619408"/>
        <c:axId val="44617728"/>
      </c:lineChart>
      <c:dateAx>
        <c:axId val="44619408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617728"/>
        <c:crosses val="autoZero"/>
        <c:auto val="1"/>
        <c:lblOffset val="100"/>
        <c:baseTimeUnit val="days"/>
      </c:dateAx>
      <c:valAx>
        <c:axId val="446177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6194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Acumulado</c:v>
          </c:tx>
          <c:marker>
            <c:symbol val="none"/>
          </c:marker>
          <c:cat>
            <c:numRef>
              <c:f>'Burns-Sprint2'!$C$27:$AD$27</c:f>
              <c:numCache>
                <c:formatCode>[$-C0A]d\-mmm;@</c:formatCode>
                <c:ptCount val="28"/>
                <c:pt idx="0">
                  <c:v>45958</c:v>
                </c:pt>
                <c:pt idx="1">
                  <c:v>45959</c:v>
                </c:pt>
                <c:pt idx="2">
                  <c:v>45960</c:v>
                </c:pt>
                <c:pt idx="3">
                  <c:v>45961</c:v>
                </c:pt>
                <c:pt idx="4">
                  <c:v>45962</c:v>
                </c:pt>
                <c:pt idx="5">
                  <c:v>45963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  <c:pt idx="10">
                  <c:v>45968</c:v>
                </c:pt>
                <c:pt idx="11">
                  <c:v>45969</c:v>
                </c:pt>
                <c:pt idx="12">
                  <c:v>45970</c:v>
                </c:pt>
                <c:pt idx="13">
                  <c:v>45971</c:v>
                </c:pt>
                <c:pt idx="14">
                  <c:v>45972</c:v>
                </c:pt>
                <c:pt idx="15">
                  <c:v>45973</c:v>
                </c:pt>
                <c:pt idx="16">
                  <c:v>45974</c:v>
                </c:pt>
                <c:pt idx="17">
                  <c:v>45975</c:v>
                </c:pt>
                <c:pt idx="18">
                  <c:v>45976</c:v>
                </c:pt>
                <c:pt idx="19">
                  <c:v>45977</c:v>
                </c:pt>
                <c:pt idx="20">
                  <c:v>45978</c:v>
                </c:pt>
                <c:pt idx="21">
                  <c:v>45979</c:v>
                </c:pt>
                <c:pt idx="22">
                  <c:v>45980</c:v>
                </c:pt>
                <c:pt idx="23">
                  <c:v>45981</c:v>
                </c:pt>
                <c:pt idx="24">
                  <c:v>45982</c:v>
                </c:pt>
                <c:pt idx="25">
                  <c:v>45983</c:v>
                </c:pt>
                <c:pt idx="26">
                  <c:v>45984</c:v>
                </c:pt>
                <c:pt idx="27">
                  <c:v>45985</c:v>
                </c:pt>
              </c:numCache>
            </c:numRef>
          </c:cat>
          <c:val>
            <c:numRef>
              <c:f>'Diario-Realizado-Sprint2'!$E$6:$AF$6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9</c:v>
                </c:pt>
                <c:pt idx="11">
                  <c:v>14</c:v>
                </c:pt>
                <c:pt idx="12">
                  <c:v>14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21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0-4276-9A1F-09FD7D557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16048"/>
        <c:axId val="315467440"/>
      </c:lineChart>
      <c:dateAx>
        <c:axId val="44616048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crossAx val="315467440"/>
        <c:crosses val="autoZero"/>
        <c:auto val="1"/>
        <c:lblOffset val="100"/>
        <c:baseTimeUnit val="days"/>
      </c:dateAx>
      <c:valAx>
        <c:axId val="315467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4616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8</xdr:row>
      <xdr:rowOff>152400</xdr:rowOff>
    </xdr:from>
    <xdr:to>
      <xdr:col>4</xdr:col>
      <xdr:colOff>2631761</xdr:colOff>
      <xdr:row>20</xdr:row>
      <xdr:rowOff>98648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1425" y="1809750"/>
          <a:ext cx="2060261" cy="2232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721178</xdr:colOff>
      <xdr:row>0</xdr:row>
      <xdr:rowOff>122464</xdr:rowOff>
    </xdr:from>
    <xdr:to>
      <xdr:col>13</xdr:col>
      <xdr:colOff>770964</xdr:colOff>
      <xdr:row>23</xdr:row>
      <xdr:rowOff>149677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761999</xdr:colOff>
      <xdr:row>31</xdr:row>
      <xdr:rowOff>36738</xdr:rowOff>
    </xdr:from>
    <xdr:to>
      <xdr:col>14</xdr:col>
      <xdr:colOff>17318</xdr:colOff>
      <xdr:row>54</xdr:row>
      <xdr:rowOff>95249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8</xdr:row>
      <xdr:rowOff>152400</xdr:rowOff>
    </xdr:from>
    <xdr:to>
      <xdr:col>4</xdr:col>
      <xdr:colOff>2631761</xdr:colOff>
      <xdr:row>20</xdr:row>
      <xdr:rowOff>98648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5151C258-D2D2-46F3-9B43-4765C142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809750"/>
          <a:ext cx="2060261" cy="22322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721178</xdr:colOff>
      <xdr:row>0</xdr:row>
      <xdr:rowOff>122464</xdr:rowOff>
    </xdr:from>
    <xdr:to>
      <xdr:col>13</xdr:col>
      <xdr:colOff>770964</xdr:colOff>
      <xdr:row>23</xdr:row>
      <xdr:rowOff>149677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CD3B703A-5DFE-4EFC-A77B-B571DB432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761999</xdr:colOff>
      <xdr:row>31</xdr:row>
      <xdr:rowOff>36738</xdr:rowOff>
    </xdr:from>
    <xdr:to>
      <xdr:col>14</xdr:col>
      <xdr:colOff>17318</xdr:colOff>
      <xdr:row>54</xdr:row>
      <xdr:rowOff>95249</xdr:rowOff>
    </xdr:to>
    <xdr:graphicFrame macro="">
      <xdr:nvGraphicFramePr>
        <xdr:cNvPr id="3" name="4 Gráfico">
          <a:extLst>
            <a:ext uri="{FF2B5EF4-FFF2-40B4-BE49-F238E27FC236}">
              <a16:creationId xmlns:a16="http://schemas.microsoft.com/office/drawing/2014/main" id="{7D7DE50B-C996-4414-A2E4-84BD46093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9"/>
  <sheetViews>
    <sheetView tabSelected="1" zoomScaleNormal="100" workbookViewId="0"/>
  </sheetViews>
  <sheetFormatPr baseColWidth="10" defaultRowHeight="14.4" x14ac:dyDescent="0.3"/>
  <cols>
    <col min="3" max="3" width="20.33203125" bestFit="1" customWidth="1"/>
    <col min="4" max="4" width="17.109375" customWidth="1"/>
    <col min="5" max="5" width="15.109375" customWidth="1"/>
    <col min="6" max="6" width="14.44140625" customWidth="1"/>
    <col min="11" max="11" width="50.6640625" customWidth="1"/>
  </cols>
  <sheetData>
    <row r="2" spans="1:11" ht="21" x14ac:dyDescent="0.4">
      <c r="B2" s="57" t="s">
        <v>67</v>
      </c>
      <c r="C2" s="58"/>
      <c r="D2" s="58"/>
      <c r="E2" s="59"/>
    </row>
    <row r="3" spans="1:11" ht="15" thickBot="1" x14ac:dyDescent="0.35">
      <c r="A3" s="13"/>
      <c r="B3" s="14"/>
    </row>
    <row r="4" spans="1:11" ht="18.600000000000001" thickBot="1" x14ac:dyDescent="0.35">
      <c r="A4" s="13"/>
      <c r="B4" s="100" t="s">
        <v>41</v>
      </c>
      <c r="C4" s="101"/>
    </row>
    <row r="5" spans="1:11" ht="15" thickBot="1" x14ac:dyDescent="0.35">
      <c r="A5" s="13"/>
      <c r="B5" s="53" t="s">
        <v>1</v>
      </c>
      <c r="C5" s="56" t="s">
        <v>25</v>
      </c>
      <c r="D5" s="55" t="s">
        <v>29</v>
      </c>
      <c r="E5" s="55"/>
      <c r="F5" s="55"/>
      <c r="G5" s="55"/>
      <c r="H5" s="55"/>
      <c r="I5" s="55"/>
      <c r="J5" s="55"/>
      <c r="K5" s="54"/>
    </row>
    <row r="6" spans="1:11" x14ac:dyDescent="0.3">
      <c r="A6" s="13"/>
      <c r="B6" s="62" t="s">
        <v>53</v>
      </c>
      <c r="C6" s="61" t="s">
        <v>51</v>
      </c>
      <c r="D6" s="111" t="s">
        <v>128</v>
      </c>
      <c r="E6" s="112"/>
      <c r="F6" s="112"/>
      <c r="G6" s="112"/>
      <c r="H6" s="112"/>
      <c r="I6" s="112"/>
      <c r="J6" s="112"/>
      <c r="K6" s="113"/>
    </row>
    <row r="7" spans="1:11" x14ac:dyDescent="0.3">
      <c r="A7" s="13"/>
      <c r="B7" s="63" t="s">
        <v>52</v>
      </c>
      <c r="C7" s="60" t="s">
        <v>42</v>
      </c>
      <c r="D7" s="114" t="s">
        <v>130</v>
      </c>
      <c r="E7" s="115"/>
      <c r="F7" s="115"/>
      <c r="G7" s="115"/>
      <c r="H7" s="115"/>
      <c r="I7" s="115"/>
      <c r="J7" s="115"/>
      <c r="K7" s="116"/>
    </row>
    <row r="8" spans="1:11" x14ac:dyDescent="0.3">
      <c r="A8" s="13"/>
      <c r="B8" s="66" t="s">
        <v>53</v>
      </c>
      <c r="C8" s="67" t="s">
        <v>43</v>
      </c>
      <c r="D8" s="117" t="s">
        <v>129</v>
      </c>
      <c r="E8" s="118"/>
      <c r="F8" s="118"/>
      <c r="G8" s="118"/>
      <c r="H8" s="118"/>
      <c r="I8" s="118"/>
      <c r="J8" s="118"/>
      <c r="K8" s="119"/>
    </row>
    <row r="9" spans="1:11" x14ac:dyDescent="0.3">
      <c r="A9" s="13"/>
      <c r="B9" s="66" t="s">
        <v>54</v>
      </c>
      <c r="C9" s="67" t="s">
        <v>43</v>
      </c>
      <c r="D9" s="120"/>
      <c r="E9" s="121"/>
      <c r="F9" s="121"/>
      <c r="G9" s="121"/>
      <c r="H9" s="121"/>
      <c r="I9" s="121"/>
      <c r="J9" s="121"/>
      <c r="K9" s="122"/>
    </row>
    <row r="10" spans="1:11" ht="15" thickBot="1" x14ac:dyDescent="0.35">
      <c r="A10" s="13"/>
      <c r="B10" s="64" t="s">
        <v>52</v>
      </c>
      <c r="C10" s="65" t="s">
        <v>43</v>
      </c>
      <c r="D10" s="123"/>
      <c r="E10" s="124"/>
      <c r="F10" s="124"/>
      <c r="G10" s="124"/>
      <c r="H10" s="124"/>
      <c r="I10" s="124"/>
      <c r="J10" s="124"/>
      <c r="K10" s="125"/>
    </row>
    <row r="11" spans="1:11" ht="15" thickBot="1" x14ac:dyDescent="0.35">
      <c r="A11" s="15"/>
    </row>
    <row r="12" spans="1:11" ht="18.600000000000001" thickBot="1" x14ac:dyDescent="0.35">
      <c r="A12" s="13"/>
      <c r="B12" s="100" t="s">
        <v>40</v>
      </c>
      <c r="C12" s="101"/>
    </row>
    <row r="13" spans="1:11" x14ac:dyDescent="0.3">
      <c r="A13" s="13"/>
      <c r="B13" s="52" t="s">
        <v>8</v>
      </c>
      <c r="C13" s="72" t="s">
        <v>26</v>
      </c>
      <c r="D13" s="72" t="s">
        <v>27</v>
      </c>
      <c r="E13" s="72" t="s">
        <v>45</v>
      </c>
      <c r="F13" s="73" t="s">
        <v>49</v>
      </c>
      <c r="G13" s="73"/>
      <c r="H13" s="73"/>
      <c r="I13" s="73"/>
      <c r="J13" s="73"/>
      <c r="K13" s="72" t="s">
        <v>50</v>
      </c>
    </row>
    <row r="14" spans="1:11" x14ac:dyDescent="0.3">
      <c r="A14" s="13"/>
      <c r="B14" s="75" t="s">
        <v>28</v>
      </c>
      <c r="C14" s="74">
        <v>45957</v>
      </c>
      <c r="D14" s="74">
        <v>45968</v>
      </c>
      <c r="E14" s="99">
        <f>'Pila-Sprint1'!C2</f>
        <v>24</v>
      </c>
      <c r="F14" s="105" t="s">
        <v>68</v>
      </c>
      <c r="G14" s="106"/>
      <c r="H14" s="106"/>
      <c r="I14" s="106"/>
      <c r="J14" s="107"/>
      <c r="K14" s="85" t="s">
        <v>74</v>
      </c>
    </row>
    <row r="15" spans="1:11" ht="15" thickBot="1" x14ac:dyDescent="0.35">
      <c r="A15" s="13"/>
      <c r="B15" s="76" t="s">
        <v>55</v>
      </c>
      <c r="C15" s="77">
        <v>45985</v>
      </c>
      <c r="D15" s="77">
        <v>45985</v>
      </c>
      <c r="E15" s="78">
        <f>'Pila-Sprint2'!C2</f>
        <v>37</v>
      </c>
      <c r="F15" s="108" t="s">
        <v>69</v>
      </c>
      <c r="G15" s="109"/>
      <c r="H15" s="109"/>
      <c r="I15" s="109"/>
      <c r="J15" s="110"/>
      <c r="K15" s="79" t="s">
        <v>127</v>
      </c>
    </row>
    <row r="16" spans="1:11" x14ac:dyDescent="0.3">
      <c r="A16" s="13"/>
      <c r="B16" s="71"/>
      <c r="C16" s="71"/>
      <c r="D16" s="71"/>
      <c r="E16" s="71"/>
      <c r="F16" s="71"/>
      <c r="G16" s="71"/>
      <c r="H16" s="71"/>
      <c r="I16" s="71"/>
      <c r="J16" s="71"/>
      <c r="K16" s="71"/>
    </row>
    <row r="17" spans="1:11" ht="15" thickBot="1" x14ac:dyDescent="0.35">
      <c r="A17" s="13"/>
    </row>
    <row r="18" spans="1:11" ht="18.600000000000001" thickBot="1" x14ac:dyDescent="0.35">
      <c r="B18" s="102" t="s">
        <v>44</v>
      </c>
      <c r="C18" s="103"/>
      <c r="D18" s="104"/>
    </row>
    <row r="19" spans="1:11" ht="15" thickBot="1" x14ac:dyDescent="0.35">
      <c r="B19" s="82" t="s">
        <v>70</v>
      </c>
      <c r="C19" s="83"/>
      <c r="D19" s="83"/>
      <c r="E19" s="83"/>
      <c r="F19" s="83"/>
      <c r="G19" s="83"/>
      <c r="H19" s="83"/>
      <c r="I19" s="83"/>
      <c r="J19" s="83"/>
      <c r="K19" s="84"/>
    </row>
  </sheetData>
  <mergeCells count="8">
    <mergeCell ref="B12:C12"/>
    <mergeCell ref="B4:C4"/>
    <mergeCell ref="B18:D18"/>
    <mergeCell ref="F14:J14"/>
    <mergeCell ref="F15:J15"/>
    <mergeCell ref="D6:K6"/>
    <mergeCell ref="D7:K7"/>
    <mergeCell ref="D8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H31"/>
  <sheetViews>
    <sheetView zoomScaleNormal="100" workbookViewId="0"/>
  </sheetViews>
  <sheetFormatPr baseColWidth="10" defaultColWidth="11.44140625" defaultRowHeight="14.4" x14ac:dyDescent="0.3"/>
  <cols>
    <col min="1" max="1" width="11.88671875" style="1" bestFit="1" customWidth="1"/>
    <col min="2" max="2" width="100.5546875" style="1" customWidth="1"/>
    <col min="3" max="3" width="10.88671875" style="2" bestFit="1" customWidth="1"/>
    <col min="4" max="5" width="11.44140625" style="2" customWidth="1"/>
    <col min="6" max="6" width="14.44140625" style="2" customWidth="1"/>
    <col min="7" max="7" width="12.6640625" style="1" customWidth="1"/>
    <col min="8" max="8" width="164" style="1" bestFit="1" customWidth="1"/>
    <col min="9" max="16384" width="11.44140625" style="1"/>
  </cols>
  <sheetData>
    <row r="1" spans="1:8" s="6" customFormat="1" ht="18" x14ac:dyDescent="0.3">
      <c r="A1" s="5" t="s">
        <v>0</v>
      </c>
      <c r="B1" s="5" t="s">
        <v>1</v>
      </c>
      <c r="C1" s="5" t="s">
        <v>22</v>
      </c>
      <c r="D1" s="5" t="s">
        <v>8</v>
      </c>
      <c r="E1" s="5" t="s">
        <v>2</v>
      </c>
      <c r="F1" s="5" t="s">
        <v>30</v>
      </c>
      <c r="G1" s="9" t="s">
        <v>23</v>
      </c>
      <c r="H1" s="10" t="s">
        <v>3</v>
      </c>
    </row>
    <row r="2" spans="1:8" s="22" customFormat="1" ht="18" x14ac:dyDescent="0.3">
      <c r="A2" s="20"/>
      <c r="B2" s="20"/>
      <c r="C2" s="20">
        <f>ROUND(AVERAGE(C3:C6), 0)</f>
        <v>85</v>
      </c>
      <c r="D2" s="20">
        <f>1</f>
        <v>1</v>
      </c>
      <c r="E2" s="20">
        <f>SUM(E3:E6)</f>
        <v>24</v>
      </c>
      <c r="F2" s="20">
        <f>SUM(F3:F6)</f>
        <v>31</v>
      </c>
      <c r="G2" s="90">
        <f>COUNTIF(G3:G6,"finished")/COUNTIF(G3:G6,"&lt;&gt;"&amp;"")</f>
        <v>0.5</v>
      </c>
      <c r="H2" s="21"/>
    </row>
    <row r="3" spans="1:8" x14ac:dyDescent="0.3">
      <c r="A3" s="86" t="s">
        <v>4</v>
      </c>
      <c r="B3" s="7" t="str">
        <f>'Pila-Sprint1'!B3</f>
        <v>Como Usuario quiero que modelos 3D se carguen desde GitHub para facilitar un repositorio</v>
      </c>
      <c r="C3" s="8">
        <v>100</v>
      </c>
      <c r="D3" s="8">
        <v>1</v>
      </c>
      <c r="E3" s="8">
        <f>'Pila-Sprint1'!C3</f>
        <v>10</v>
      </c>
      <c r="F3" s="8">
        <f>SUM('Diario-Realizado-Sprint1'!D10:D12)</f>
        <v>12</v>
      </c>
      <c r="G3" s="2" t="s">
        <v>75</v>
      </c>
      <c r="H3" s="3" t="s">
        <v>79</v>
      </c>
    </row>
    <row r="4" spans="1:8" x14ac:dyDescent="0.3">
      <c r="A4" s="86" t="s">
        <v>5</v>
      </c>
      <c r="B4" s="7" t="str">
        <f>'Pila-Sprint1'!B7</f>
        <v>Como Usuario quiero visualizar estatuas de pokémons, objetos y cartas para reconocer emblemas de la saga</v>
      </c>
      <c r="C4" s="8">
        <v>90</v>
      </c>
      <c r="D4" s="8">
        <v>1</v>
      </c>
      <c r="E4" s="8">
        <f>'Pila-Sprint1'!C7</f>
        <v>7</v>
      </c>
      <c r="F4" s="8">
        <f>SUM('Diario-Realizado-Sprint1'!D13:D14)</f>
        <v>12</v>
      </c>
      <c r="G4" s="88" t="s">
        <v>76</v>
      </c>
      <c r="H4" s="7" t="s">
        <v>77</v>
      </c>
    </row>
    <row r="5" spans="1:8" x14ac:dyDescent="0.3">
      <c r="A5" s="86" t="s">
        <v>6</v>
      </c>
      <c r="B5" s="7" t="str">
        <f>'Pila-Sprint1'!B10</f>
        <v>Como Usuario quiero interactuar con poké balls para sentirme inmerso en la experiencia</v>
      </c>
      <c r="C5" s="8">
        <v>80</v>
      </c>
      <c r="D5" s="8">
        <v>1</v>
      </c>
      <c r="E5" s="8">
        <f>'Pila-Sprint1'!C10</f>
        <v>5</v>
      </c>
      <c r="F5" s="8">
        <f>SUM('Diario-Realizado-Sprint1'!D15:D17)</f>
        <v>3</v>
      </c>
      <c r="G5" s="89" t="s">
        <v>76</v>
      </c>
      <c r="H5" s="7" t="s">
        <v>77</v>
      </c>
    </row>
    <row r="6" spans="1:8" x14ac:dyDescent="0.3">
      <c r="A6" s="86" t="s">
        <v>7</v>
      </c>
      <c r="B6" s="7" t="str">
        <f>'Pila-Sprint1'!B14</f>
        <v>Como Usuario quiero cada objeto escalado adecuadamente para poseer una percepción realista</v>
      </c>
      <c r="C6" s="8">
        <v>70</v>
      </c>
      <c r="D6" s="8">
        <v>1</v>
      </c>
      <c r="E6" s="8">
        <f>'Pila-Sprint1'!C6</f>
        <v>2</v>
      </c>
      <c r="F6" s="8">
        <f>'Diario-Realizado-Sprint1'!D18</f>
        <v>4</v>
      </c>
      <c r="G6" s="89" t="s">
        <v>75</v>
      </c>
      <c r="H6" s="7"/>
    </row>
    <row r="7" spans="1:8" ht="18" x14ac:dyDescent="0.35">
      <c r="A7" s="80"/>
      <c r="B7" s="80"/>
      <c r="C7" s="81">
        <f>ROUND(AVERAGE(C8:C13), 0)</f>
        <v>63</v>
      </c>
      <c r="D7" s="81">
        <v>2</v>
      </c>
      <c r="E7" s="81">
        <f>SUM(E8:E13)</f>
        <v>37</v>
      </c>
      <c r="F7" s="81">
        <f>SUM(F8:F13)</f>
        <v>31</v>
      </c>
      <c r="G7" s="91">
        <f>COUNTIF(G8:G13,"finished")/COUNTIF(G8:G13,"&lt;&gt;"&amp;"")</f>
        <v>1</v>
      </c>
      <c r="H7" s="80"/>
    </row>
    <row r="8" spans="1:8" x14ac:dyDescent="0.3">
      <c r="A8" s="86" t="s">
        <v>5</v>
      </c>
      <c r="B8" s="7" t="str">
        <f>'Pila-Sprint2'!B3</f>
        <v>Como Usuario quiero visualizar estatuas de pokémons, objetos y cartas para reconocer emblemas de la saga</v>
      </c>
      <c r="C8" s="8">
        <v>90</v>
      </c>
      <c r="D8" s="8">
        <v>1</v>
      </c>
      <c r="E8" s="8">
        <f>'Pila-Sprint2'!C3</f>
        <v>5</v>
      </c>
      <c r="F8" s="8">
        <f>'Diario-Realizado-Sprint2'!D10</f>
        <v>4</v>
      </c>
      <c r="G8" s="88" t="s">
        <v>75</v>
      </c>
      <c r="H8" s="7"/>
    </row>
    <row r="9" spans="1:8" x14ac:dyDescent="0.3">
      <c r="A9" s="86" t="s">
        <v>6</v>
      </c>
      <c r="B9" s="7" t="str">
        <f>'Pila-Sprint2'!B5</f>
        <v>Como Usuario quiero interactuar con poké balls para sentirme inmerso en la experiencia</v>
      </c>
      <c r="C9" s="8">
        <v>80</v>
      </c>
      <c r="D9" s="8">
        <v>1</v>
      </c>
      <c r="E9" s="8">
        <f>'Pila-Sprint2'!C5</f>
        <v>5</v>
      </c>
      <c r="F9" s="8">
        <f>SUM('Diario-Realizado-Sprint2'!D11:D13)</f>
        <v>6</v>
      </c>
      <c r="G9" s="89" t="s">
        <v>75</v>
      </c>
      <c r="H9" s="7"/>
    </row>
    <row r="10" spans="1:8" x14ac:dyDescent="0.3">
      <c r="A10" s="86" t="s">
        <v>10</v>
      </c>
      <c r="B10" s="7" t="str">
        <f>'Pila-Sprint2'!B9</f>
        <v>Como Usuario quiero visualizar cuadros que contextualicen la saga para entender su evolución</v>
      </c>
      <c r="C10" s="8">
        <v>80</v>
      </c>
      <c r="D10" s="8">
        <v>2</v>
      </c>
      <c r="E10" s="8">
        <f>'Pila-Sprint2'!C9</f>
        <v>5</v>
      </c>
      <c r="F10" s="8">
        <f>'Diario-Realizado-Sprint2'!D14</f>
        <v>4</v>
      </c>
      <c r="G10" s="89" t="s">
        <v>75</v>
      </c>
      <c r="H10" s="7"/>
    </row>
    <row r="11" spans="1:8" x14ac:dyDescent="0.3">
      <c r="A11" s="86" t="s">
        <v>9</v>
      </c>
      <c r="B11" s="7" t="str">
        <f>'Pila-Sprint2'!B11</f>
        <v>Como Usuario quiero disponer de un botón que reproduzca música para ambientar la experiencia</v>
      </c>
      <c r="C11" s="8">
        <v>60</v>
      </c>
      <c r="D11" s="8">
        <v>2</v>
      </c>
      <c r="E11" s="8">
        <f>'Pila-Sprint2'!C11</f>
        <v>7</v>
      </c>
      <c r="F11" s="70">
        <f>SUM('Diario-Realizado-Sprint2'!D15:D16)</f>
        <v>6</v>
      </c>
      <c r="G11" s="89" t="s">
        <v>75</v>
      </c>
      <c r="H11" s="69"/>
    </row>
    <row r="12" spans="1:8" x14ac:dyDescent="0.3">
      <c r="A12" s="86" t="s">
        <v>11</v>
      </c>
      <c r="B12" s="7" t="str">
        <f>'Pila-Sprint2'!B14</f>
        <v>Como Usuario quiero iluminar estatuas al acercarme para llamar mi atención</v>
      </c>
      <c r="C12" s="8">
        <v>40</v>
      </c>
      <c r="D12" s="8">
        <v>2</v>
      </c>
      <c r="E12" s="8">
        <f>'Pila-Sprint2'!C14</f>
        <v>5</v>
      </c>
      <c r="F12" s="8">
        <f>SUM('Diario-Realizado-Sprint2'!D17:D18)</f>
        <v>4</v>
      </c>
      <c r="G12" s="89" t="s">
        <v>75</v>
      </c>
      <c r="H12" s="7"/>
    </row>
    <row r="13" spans="1:8" ht="15" customHeight="1" x14ac:dyDescent="0.3">
      <c r="A13" s="86" t="s">
        <v>24</v>
      </c>
      <c r="B13" s="7" t="str">
        <f>'Pila-Sprint2'!B17</f>
        <v>Como Usuario quiero añadir mini-quiz internacional para probar mis conocimientos</v>
      </c>
      <c r="C13" s="8">
        <v>30</v>
      </c>
      <c r="D13" s="8">
        <v>2</v>
      </c>
      <c r="E13" s="8">
        <f>'Pila-Sprint2'!C17</f>
        <v>10</v>
      </c>
      <c r="F13" s="8">
        <f>SUM('Diario-Realizado-Sprint2'!D19:D21)</f>
        <v>7</v>
      </c>
      <c r="G13" s="89" t="s">
        <v>75</v>
      </c>
      <c r="H13" s="7"/>
    </row>
    <row r="21" spans="1:3" x14ac:dyDescent="0.3">
      <c r="A21" s="16"/>
    </row>
    <row r="22" spans="1:3" x14ac:dyDescent="0.3">
      <c r="A22" s="17"/>
    </row>
    <row r="23" spans="1:3" x14ac:dyDescent="0.3">
      <c r="A23" s="17"/>
    </row>
    <row r="24" spans="1:3" x14ac:dyDescent="0.3">
      <c r="A24" s="17"/>
    </row>
    <row r="26" spans="1:3" x14ac:dyDescent="0.3">
      <c r="A26" s="18"/>
    </row>
    <row r="27" spans="1:3" x14ac:dyDescent="0.3">
      <c r="A27" s="18"/>
      <c r="C27" s="4"/>
    </row>
    <row r="30" spans="1:3" x14ac:dyDescent="0.3">
      <c r="B30" s="19"/>
    </row>
    <row r="31" spans="1:3" x14ac:dyDescent="0.3">
      <c r="B31" s="19"/>
    </row>
  </sheetData>
  <autoFilter ref="A1:D17" xr:uid="{00000000-0009-0000-0000-000001000000}">
    <sortState xmlns:xlrd2="http://schemas.microsoft.com/office/spreadsheetml/2017/richdata2" ref="A2:I63">
      <sortCondition descending="1" ref="B1:B58"/>
    </sortState>
  </autoFilter>
  <sortState xmlns:xlrd2="http://schemas.microsoft.com/office/spreadsheetml/2017/richdata2" ref="A1:ID63">
    <sortCondition descending="1" ref="C1:C63"/>
  </sortState>
  <pageMargins left="0.70866141732283472" right="0.70866141732283472" top="0.74803149606299213" bottom="0.74803149606299213" header="0.31496062992125984" footer="0.31496062992125984"/>
  <pageSetup paperSize="9" scale="62" fitToHeight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33"/>
  <sheetViews>
    <sheetView zoomScaleNormal="100" workbookViewId="0"/>
  </sheetViews>
  <sheetFormatPr baseColWidth="10" defaultColWidth="11.44140625" defaultRowHeight="14.4" x14ac:dyDescent="0.3"/>
  <cols>
    <col min="1" max="1" width="12.33203125" style="1" customWidth="1"/>
    <col min="2" max="2" width="100.6640625" style="1" customWidth="1"/>
    <col min="3" max="3" width="14.44140625" style="2" bestFit="1" customWidth="1"/>
    <col min="4" max="4" width="50.6640625" style="1" customWidth="1"/>
    <col min="5" max="5" width="131.109375" style="1" customWidth="1"/>
    <col min="6" max="16384" width="11.44140625" style="1"/>
  </cols>
  <sheetData>
    <row r="1" spans="1:5" s="23" customFormat="1" ht="21.75" customHeight="1" x14ac:dyDescent="0.3">
      <c r="A1" s="24" t="s">
        <v>0</v>
      </c>
      <c r="B1" s="24" t="s">
        <v>1</v>
      </c>
      <c r="C1" s="24" t="s">
        <v>2</v>
      </c>
      <c r="D1" s="25" t="s">
        <v>3</v>
      </c>
      <c r="E1" s="39"/>
    </row>
    <row r="2" spans="1:5" s="23" customFormat="1" ht="18" x14ac:dyDescent="0.3">
      <c r="A2" s="26"/>
      <c r="B2" s="26"/>
      <c r="C2" s="26">
        <f>SUM(C3,C7,C10,C14)</f>
        <v>24</v>
      </c>
      <c r="D2" s="27"/>
      <c r="E2" s="39"/>
    </row>
    <row r="3" spans="1:5" x14ac:dyDescent="0.3">
      <c r="A3" s="11" t="s">
        <v>105</v>
      </c>
      <c r="B3" s="11" t="s">
        <v>91</v>
      </c>
      <c r="C3" s="12">
        <f>SUM(C4:C6)</f>
        <v>10</v>
      </c>
      <c r="D3" s="11"/>
    </row>
    <row r="4" spans="1:5" x14ac:dyDescent="0.3">
      <c r="A4" s="1" t="s">
        <v>81</v>
      </c>
      <c r="B4" s="1" t="s">
        <v>72</v>
      </c>
      <c r="C4" s="2">
        <v>3</v>
      </c>
    </row>
    <row r="5" spans="1:5" x14ac:dyDescent="0.3">
      <c r="A5" s="1" t="s">
        <v>83</v>
      </c>
      <c r="B5" s="1" t="s">
        <v>71</v>
      </c>
      <c r="C5" s="2">
        <v>5</v>
      </c>
      <c r="D5" s="1" t="s">
        <v>78</v>
      </c>
    </row>
    <row r="6" spans="1:5" x14ac:dyDescent="0.3">
      <c r="A6" s="1" t="s">
        <v>82</v>
      </c>
      <c r="B6" s="1" t="s">
        <v>73</v>
      </c>
      <c r="C6" s="2">
        <v>2</v>
      </c>
      <c r="D6" s="1" t="s">
        <v>80</v>
      </c>
    </row>
    <row r="7" spans="1:5" x14ac:dyDescent="0.3">
      <c r="A7" s="11" t="s">
        <v>106</v>
      </c>
      <c r="B7" s="11" t="s">
        <v>102</v>
      </c>
      <c r="C7" s="12">
        <f>SUM(C8:C9)</f>
        <v>7</v>
      </c>
      <c r="D7" s="11"/>
    </row>
    <row r="8" spans="1:5" ht="15" customHeight="1" x14ac:dyDescent="0.3">
      <c r="A8" s="1" t="s">
        <v>12</v>
      </c>
      <c r="B8" s="1" t="s">
        <v>103</v>
      </c>
      <c r="C8" s="2">
        <v>5</v>
      </c>
    </row>
    <row r="9" spans="1:5" x14ac:dyDescent="0.3">
      <c r="A9" s="1" t="s">
        <v>13</v>
      </c>
      <c r="B9" s="1" t="s">
        <v>104</v>
      </c>
      <c r="C9" s="2">
        <v>2</v>
      </c>
    </row>
    <row r="10" spans="1:5" x14ac:dyDescent="0.3">
      <c r="A10" s="11" t="s">
        <v>107</v>
      </c>
      <c r="B10" s="11" t="s">
        <v>56</v>
      </c>
      <c r="C10" s="12">
        <f>SUM(C11:C13)</f>
        <v>5</v>
      </c>
      <c r="D10" s="11"/>
    </row>
    <row r="11" spans="1:5" x14ac:dyDescent="0.3">
      <c r="A11" s="1" t="s">
        <v>14</v>
      </c>
      <c r="B11" s="1" t="s">
        <v>61</v>
      </c>
      <c r="C11" s="2">
        <v>2</v>
      </c>
    </row>
    <row r="12" spans="1:5" x14ac:dyDescent="0.3">
      <c r="A12" s="1" t="s">
        <v>15</v>
      </c>
      <c r="B12" s="1" t="s">
        <v>99</v>
      </c>
      <c r="C12" s="2">
        <v>1</v>
      </c>
    </row>
    <row r="13" spans="1:5" x14ac:dyDescent="0.3">
      <c r="A13" s="1" t="s">
        <v>59</v>
      </c>
      <c r="B13" s="1" t="s">
        <v>60</v>
      </c>
      <c r="C13" s="2">
        <v>2</v>
      </c>
    </row>
    <row r="14" spans="1:5" x14ac:dyDescent="0.3">
      <c r="A14" s="11" t="s">
        <v>108</v>
      </c>
      <c r="B14" s="11" t="s">
        <v>57</v>
      </c>
      <c r="C14" s="12">
        <f>SUM(C15:C15)</f>
        <v>2</v>
      </c>
      <c r="D14" s="11"/>
    </row>
    <row r="15" spans="1:5" x14ac:dyDescent="0.3">
      <c r="A15" s="1" t="s">
        <v>16</v>
      </c>
      <c r="B15" s="1" t="s">
        <v>62</v>
      </c>
      <c r="C15" s="2">
        <v>2</v>
      </c>
    </row>
    <row r="16" spans="1:5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ht="15" customHeight="1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40"/>
  <sheetViews>
    <sheetView zoomScaleNormal="100" workbookViewId="0"/>
  </sheetViews>
  <sheetFormatPr baseColWidth="10" defaultColWidth="11.44140625" defaultRowHeight="14.4" x14ac:dyDescent="0.3"/>
  <cols>
    <col min="1" max="1" width="12.33203125" style="1" customWidth="1"/>
    <col min="2" max="2" width="104.6640625" style="1" customWidth="1"/>
    <col min="3" max="3" width="14.44140625" style="2" bestFit="1" customWidth="1"/>
    <col min="4" max="4" width="14.6640625" style="1" customWidth="1"/>
    <col min="5" max="14" width="5.6640625" style="45" customWidth="1"/>
    <col min="15" max="55" width="5.6640625" style="1" customWidth="1"/>
    <col min="56" max="16384" width="11.44140625" style="1"/>
  </cols>
  <sheetData>
    <row r="2" spans="1:31" x14ac:dyDescent="0.3">
      <c r="A2" s="49"/>
      <c r="B2" s="49"/>
      <c r="C2" s="28"/>
      <c r="D2" s="28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31" ht="34.5" customHeight="1" x14ac:dyDescent="0.3">
      <c r="A3" s="50"/>
      <c r="B3" s="51"/>
      <c r="C3" s="28"/>
      <c r="D3" s="28"/>
      <c r="E3" s="41" t="str">
        <f>IF(E4=0," ",CHOOSE(WEEKDAY(E4,2),"L","M","X","J","V","S","D"))</f>
        <v>X</v>
      </c>
      <c r="F3" s="41" t="str">
        <f>IF(F4=0," ",CHOOSE(WEEKDAY(F4,2),"L","M","X","J","V","S","D"))</f>
        <v>J</v>
      </c>
      <c r="G3" s="41" t="str">
        <f>IF(G4=0," ",CHOOSE(WEEKDAY(G4,2),"L","M","X","J","V","S","D"))</f>
        <v>V</v>
      </c>
      <c r="H3" s="41" t="str">
        <f t="shared" ref="H3:AE3" si="0">IF(H4=0," ",CHOOSE(WEEKDAY(H4,2),"L","M","X","J","V","S","D"))</f>
        <v>S</v>
      </c>
      <c r="I3" s="41" t="str">
        <f t="shared" si="0"/>
        <v>D</v>
      </c>
      <c r="J3" s="41" t="str">
        <f t="shared" si="0"/>
        <v>L</v>
      </c>
      <c r="K3" s="41" t="str">
        <f t="shared" si="0"/>
        <v>M</v>
      </c>
      <c r="L3" s="41" t="str">
        <f t="shared" si="0"/>
        <v>X</v>
      </c>
      <c r="M3" s="41" t="str">
        <f t="shared" si="0"/>
        <v>J</v>
      </c>
      <c r="N3" s="41" t="str">
        <f t="shared" si="0"/>
        <v>V</v>
      </c>
      <c r="O3" s="41" t="str">
        <f t="shared" si="0"/>
        <v>S</v>
      </c>
      <c r="P3" s="41" t="str">
        <f t="shared" si="0"/>
        <v>D</v>
      </c>
      <c r="Q3" s="41" t="str">
        <f t="shared" si="0"/>
        <v>L</v>
      </c>
      <c r="R3" s="41" t="str">
        <f t="shared" si="0"/>
        <v>M</v>
      </c>
      <c r="S3" s="41" t="str">
        <f t="shared" si="0"/>
        <v>X</v>
      </c>
      <c r="T3" s="41" t="str">
        <f t="shared" si="0"/>
        <v>J</v>
      </c>
      <c r="U3" s="41" t="str">
        <f t="shared" si="0"/>
        <v>V</v>
      </c>
      <c r="V3" s="41" t="str">
        <f t="shared" si="0"/>
        <v>S</v>
      </c>
      <c r="W3" s="41" t="str">
        <f t="shared" si="0"/>
        <v>D</v>
      </c>
      <c r="X3" s="41" t="str">
        <f t="shared" si="0"/>
        <v>L</v>
      </c>
      <c r="Y3" s="41" t="str">
        <f t="shared" si="0"/>
        <v>M</v>
      </c>
      <c r="Z3" s="41" t="str">
        <f t="shared" si="0"/>
        <v>X</v>
      </c>
      <c r="AA3" s="41" t="str">
        <f t="shared" si="0"/>
        <v>J</v>
      </c>
      <c r="AB3" s="41" t="str">
        <f t="shared" si="0"/>
        <v>V</v>
      </c>
      <c r="AC3" s="41" t="str">
        <f t="shared" si="0"/>
        <v>S</v>
      </c>
      <c r="AD3" s="41" t="str">
        <f t="shared" si="0"/>
        <v>D</v>
      </c>
      <c r="AE3" s="41" t="str">
        <f t="shared" si="0"/>
        <v>L</v>
      </c>
    </row>
    <row r="4" spans="1:31" ht="36" x14ac:dyDescent="0.3">
      <c r="A4" s="31"/>
      <c r="B4" s="31"/>
      <c r="C4" s="31"/>
      <c r="D4" s="31"/>
      <c r="E4" s="32">
        <v>45931</v>
      </c>
      <c r="F4" s="32">
        <v>45932</v>
      </c>
      <c r="G4" s="32">
        <v>45933</v>
      </c>
      <c r="H4" s="32">
        <v>45934</v>
      </c>
      <c r="I4" s="32">
        <v>45935</v>
      </c>
      <c r="J4" s="32">
        <v>45936</v>
      </c>
      <c r="K4" s="32">
        <v>45937</v>
      </c>
      <c r="L4" s="32">
        <v>45938</v>
      </c>
      <c r="M4" s="32">
        <v>45939</v>
      </c>
      <c r="N4" s="32">
        <v>45940</v>
      </c>
      <c r="O4" s="32">
        <v>45941</v>
      </c>
      <c r="P4" s="32">
        <v>45942</v>
      </c>
      <c r="Q4" s="32">
        <v>45943</v>
      </c>
      <c r="R4" s="32">
        <v>45944</v>
      </c>
      <c r="S4" s="32">
        <v>45945</v>
      </c>
      <c r="T4" s="32">
        <v>45946</v>
      </c>
      <c r="U4" s="32">
        <v>45947</v>
      </c>
      <c r="V4" s="32">
        <v>45948</v>
      </c>
      <c r="W4" s="32">
        <v>45949</v>
      </c>
      <c r="X4" s="32">
        <v>45950</v>
      </c>
      <c r="Y4" s="32">
        <v>45951</v>
      </c>
      <c r="Z4" s="32">
        <v>45952</v>
      </c>
      <c r="AA4" s="32">
        <v>45953</v>
      </c>
      <c r="AB4" s="32">
        <v>45954</v>
      </c>
      <c r="AC4" s="32">
        <v>45955</v>
      </c>
      <c r="AD4" s="32">
        <v>45956</v>
      </c>
      <c r="AE4" s="32">
        <v>45957</v>
      </c>
    </row>
    <row r="5" spans="1:31" x14ac:dyDescent="0.3">
      <c r="A5" s="31"/>
      <c r="B5" s="31"/>
      <c r="C5" s="31"/>
      <c r="D5" s="31"/>
      <c r="E5" s="42" t="str">
        <f ca="1">IF(AND(D4&lt;TODAY(),TODAY()&lt;(E4+1),E4&lt;&gt;""),"ACTUAL","")</f>
        <v/>
      </c>
      <c r="F5" s="42" t="str">
        <f ca="1">IF(AND(E4&lt;TODAY(),TODAY()&lt;(F4+1),F4&lt;&gt;""),"ACTUAL","")</f>
        <v/>
      </c>
      <c r="G5" s="42" t="str">
        <f ca="1">IF(AND(F4&lt;TODAY(),TODAY()&lt;(G4+1),G4&lt;&gt;""),"ACTUAL","")</f>
        <v/>
      </c>
      <c r="H5" s="42" t="str">
        <f t="shared" ref="H5:K5" ca="1" si="1">IF(AND(G4&lt;TODAY(),TODAY()&lt;(H4+1),H4&lt;&gt;""),"ACTUAL","")</f>
        <v/>
      </c>
      <c r="I5" s="42" t="str">
        <f t="shared" ca="1" si="1"/>
        <v/>
      </c>
      <c r="J5" s="42" t="str">
        <f t="shared" ca="1" si="1"/>
        <v/>
      </c>
      <c r="K5" s="42" t="str">
        <f t="shared" ca="1" si="1"/>
        <v/>
      </c>
      <c r="L5" s="42" t="str">
        <f t="shared" ref="L5:O5" ca="1" si="2">IF(AND(K4&lt;TODAY(),TODAY()&lt;(L4+1),L4&lt;&gt;""),"ACTUAL","")</f>
        <v/>
      </c>
      <c r="M5" s="42" t="str">
        <f t="shared" ca="1" si="2"/>
        <v/>
      </c>
      <c r="N5" s="42" t="str">
        <f t="shared" ca="1" si="2"/>
        <v/>
      </c>
      <c r="O5" s="42" t="str">
        <f t="shared" ca="1" si="2"/>
        <v/>
      </c>
      <c r="P5" s="42" t="str">
        <f t="shared" ref="P5:S5" ca="1" si="3">IF(AND(O4&lt;TODAY(),TODAY()&lt;(P4+1),P4&lt;&gt;""),"ACTUAL","")</f>
        <v/>
      </c>
      <c r="Q5" s="42" t="str">
        <f t="shared" ca="1" si="3"/>
        <v/>
      </c>
      <c r="R5" s="42" t="str">
        <f t="shared" ca="1" si="3"/>
        <v/>
      </c>
      <c r="S5" s="42" t="str">
        <f t="shared" ca="1" si="3"/>
        <v/>
      </c>
      <c r="T5" s="42" t="str">
        <f t="shared" ref="T5:W5" ca="1" si="4">IF(AND(S4&lt;TODAY(),TODAY()&lt;(T4+1),T4&lt;&gt;""),"ACTUAL","")</f>
        <v/>
      </c>
      <c r="U5" s="42" t="str">
        <f t="shared" ca="1" si="4"/>
        <v/>
      </c>
      <c r="V5" s="42" t="str">
        <f t="shared" ca="1" si="4"/>
        <v/>
      </c>
      <c r="W5" s="42" t="str">
        <f t="shared" ca="1" si="4"/>
        <v/>
      </c>
      <c r="X5" s="42" t="str">
        <f t="shared" ref="X5:AA5" ca="1" si="5">IF(AND(W4&lt;TODAY(),TODAY()&lt;(X4+1),X4&lt;&gt;""),"ACTUAL","")</f>
        <v/>
      </c>
      <c r="Y5" s="42" t="str">
        <f t="shared" ca="1" si="5"/>
        <v/>
      </c>
      <c r="Z5" s="42" t="str">
        <f t="shared" ca="1" si="5"/>
        <v/>
      </c>
      <c r="AA5" s="42" t="str">
        <f t="shared" ca="1" si="5"/>
        <v/>
      </c>
      <c r="AB5" s="42" t="str">
        <f t="shared" ref="AB5:AE5" ca="1" si="6">IF(AND(AA4&lt;TODAY(),TODAY()&lt;(AB4+1),AB4&lt;&gt;""),"ACTUAL","")</f>
        <v/>
      </c>
      <c r="AC5" s="42" t="str">
        <f t="shared" ca="1" si="6"/>
        <v/>
      </c>
      <c r="AD5" s="42" t="str">
        <f t="shared" ca="1" si="6"/>
        <v/>
      </c>
      <c r="AE5" s="42" t="str">
        <f t="shared" ca="1" si="6"/>
        <v/>
      </c>
    </row>
    <row r="6" spans="1:31" ht="15" x14ac:dyDescent="0.3">
      <c r="A6" s="126" t="s">
        <v>31</v>
      </c>
      <c r="B6" s="127"/>
      <c r="C6" s="128"/>
      <c r="D6" s="35">
        <f>COUNTIF(D10:D896,"&gt;0")</f>
        <v>9</v>
      </c>
      <c r="E6" s="43">
        <f t="shared" ref="E6:AE6" si="7">COUNTIF(E10:E18,"&gt;0")</f>
        <v>9</v>
      </c>
      <c r="F6" s="43">
        <f t="shared" si="7"/>
        <v>9</v>
      </c>
      <c r="G6" s="43">
        <f t="shared" si="7"/>
        <v>9</v>
      </c>
      <c r="H6" s="43">
        <f t="shared" si="7"/>
        <v>9</v>
      </c>
      <c r="I6" s="43">
        <f t="shared" si="7"/>
        <v>9</v>
      </c>
      <c r="J6" s="43">
        <f t="shared" si="7"/>
        <v>9</v>
      </c>
      <c r="K6" s="43">
        <f t="shared" si="7"/>
        <v>9</v>
      </c>
      <c r="L6" s="43">
        <f t="shared" si="7"/>
        <v>9</v>
      </c>
      <c r="M6" s="43">
        <f t="shared" si="7"/>
        <v>9</v>
      </c>
      <c r="N6" s="43">
        <f t="shared" si="7"/>
        <v>9</v>
      </c>
      <c r="O6" s="43">
        <f t="shared" si="7"/>
        <v>9</v>
      </c>
      <c r="P6" s="43">
        <f t="shared" si="7"/>
        <v>9</v>
      </c>
      <c r="Q6" s="43">
        <f t="shared" si="7"/>
        <v>8</v>
      </c>
      <c r="R6" s="43">
        <f t="shared" si="7"/>
        <v>8</v>
      </c>
      <c r="S6" s="43">
        <f t="shared" si="7"/>
        <v>8</v>
      </c>
      <c r="T6" s="43">
        <f t="shared" si="7"/>
        <v>8</v>
      </c>
      <c r="U6" s="43">
        <f t="shared" si="7"/>
        <v>8</v>
      </c>
      <c r="V6" s="43">
        <f t="shared" si="7"/>
        <v>7</v>
      </c>
      <c r="W6" s="43">
        <f t="shared" si="7"/>
        <v>7</v>
      </c>
      <c r="X6" s="43">
        <f t="shared" si="7"/>
        <v>6</v>
      </c>
      <c r="Y6" s="43">
        <f t="shared" si="7"/>
        <v>6</v>
      </c>
      <c r="Z6" s="43">
        <f t="shared" si="7"/>
        <v>6</v>
      </c>
      <c r="AA6" s="43">
        <f t="shared" si="7"/>
        <v>6</v>
      </c>
      <c r="AB6" s="43">
        <f t="shared" si="7"/>
        <v>6</v>
      </c>
      <c r="AC6" s="43">
        <f t="shared" si="7"/>
        <v>4</v>
      </c>
      <c r="AD6" s="43">
        <f t="shared" si="7"/>
        <v>4</v>
      </c>
      <c r="AE6" s="43">
        <f t="shared" si="7"/>
        <v>4</v>
      </c>
    </row>
    <row r="7" spans="1:31" ht="15.6" x14ac:dyDescent="0.3">
      <c r="A7" s="126" t="s">
        <v>32</v>
      </c>
      <c r="B7" s="127"/>
      <c r="C7" s="128"/>
      <c r="D7" s="37">
        <f>SUM(D9:D929)</f>
        <v>24</v>
      </c>
      <c r="E7" s="44">
        <f>IF(SUM(E10:E18)&gt;=0,SUM(E10:E18),#N/A)</f>
        <v>24</v>
      </c>
      <c r="F7" s="44">
        <f t="shared" ref="E7:AE7" si="8">IF(SUM(F10:F18)&gt;=0,SUM(F10:F18),#N/A)</f>
        <v>24</v>
      </c>
      <c r="G7" s="44">
        <f t="shared" si="8"/>
        <v>24</v>
      </c>
      <c r="H7" s="44">
        <f t="shared" si="8"/>
        <v>24</v>
      </c>
      <c r="I7" s="44">
        <f t="shared" si="8"/>
        <v>24</v>
      </c>
      <c r="J7" s="44">
        <f t="shared" si="8"/>
        <v>23</v>
      </c>
      <c r="K7" s="44">
        <f t="shared" si="8"/>
        <v>23</v>
      </c>
      <c r="L7" s="44">
        <f t="shared" si="8"/>
        <v>23</v>
      </c>
      <c r="M7" s="44">
        <f t="shared" si="8"/>
        <v>23</v>
      </c>
      <c r="N7" s="44">
        <f t="shared" si="8"/>
        <v>23</v>
      </c>
      <c r="O7" s="44">
        <f t="shared" si="8"/>
        <v>23</v>
      </c>
      <c r="P7" s="44">
        <f t="shared" si="8"/>
        <v>23</v>
      </c>
      <c r="Q7" s="44">
        <f t="shared" si="8"/>
        <v>21</v>
      </c>
      <c r="R7" s="44">
        <f t="shared" si="8"/>
        <v>21</v>
      </c>
      <c r="S7" s="44">
        <f t="shared" si="8"/>
        <v>21</v>
      </c>
      <c r="T7" s="44">
        <f t="shared" si="8"/>
        <v>21</v>
      </c>
      <c r="U7" s="44">
        <f t="shared" si="8"/>
        <v>18</v>
      </c>
      <c r="V7" s="44">
        <f t="shared" si="8"/>
        <v>13</v>
      </c>
      <c r="W7" s="44">
        <f t="shared" si="8"/>
        <v>13</v>
      </c>
      <c r="X7" s="44">
        <f t="shared" si="8"/>
        <v>15</v>
      </c>
      <c r="Y7" s="44">
        <f t="shared" si="8"/>
        <v>15</v>
      </c>
      <c r="Z7" s="44">
        <f t="shared" si="8"/>
        <v>15</v>
      </c>
      <c r="AA7" s="44">
        <f t="shared" si="8"/>
        <v>15</v>
      </c>
      <c r="AB7" s="44">
        <f t="shared" si="8"/>
        <v>15</v>
      </c>
      <c r="AC7" s="44">
        <f t="shared" si="8"/>
        <v>10</v>
      </c>
      <c r="AD7" s="44">
        <f t="shared" si="8"/>
        <v>10</v>
      </c>
      <c r="AE7" s="44">
        <f t="shared" si="8"/>
        <v>10</v>
      </c>
    </row>
    <row r="9" spans="1:31" s="23" customFormat="1" ht="21" customHeight="1" x14ac:dyDescent="0.3">
      <c r="A9" s="93" t="s">
        <v>0</v>
      </c>
      <c r="B9" s="93" t="s">
        <v>1</v>
      </c>
      <c r="C9" s="93" t="s">
        <v>34</v>
      </c>
      <c r="D9" s="93" t="s">
        <v>2</v>
      </c>
      <c r="E9" s="129" t="s">
        <v>33</v>
      </c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1"/>
    </row>
    <row r="10" spans="1:31" x14ac:dyDescent="0.3">
      <c r="A10" s="87" t="str">
        <f>'Pila-Sprint1'!A4</f>
        <v>ID001_T1</v>
      </c>
      <c r="B10" s="69" t="str">
        <f>'Pila-Sprint1'!B4</f>
        <v>Configurar la carga de modelos desde GitHub</v>
      </c>
      <c r="C10" s="69" t="s">
        <v>43</v>
      </c>
      <c r="D10" s="94">
        <f>'Pila-Sprint1'!C4</f>
        <v>3</v>
      </c>
      <c r="E10" s="69">
        <v>3</v>
      </c>
      <c r="F10" s="69">
        <v>3</v>
      </c>
      <c r="G10" s="69">
        <v>3</v>
      </c>
      <c r="H10" s="69">
        <v>3</v>
      </c>
      <c r="I10" s="69">
        <v>3</v>
      </c>
      <c r="J10" s="69">
        <v>2</v>
      </c>
      <c r="K10" s="69">
        <v>2</v>
      </c>
      <c r="L10" s="69">
        <v>2</v>
      </c>
      <c r="M10" s="69">
        <v>2</v>
      </c>
      <c r="N10" s="69">
        <v>2</v>
      </c>
      <c r="O10" s="69">
        <v>2</v>
      </c>
      <c r="P10" s="69">
        <v>2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</row>
    <row r="11" spans="1:31" x14ac:dyDescent="0.3">
      <c r="A11" s="87" t="str">
        <f>'Pila-Sprint1'!A5</f>
        <v>ID001_T2</v>
      </c>
      <c r="B11" s="69" t="str">
        <f>'Pila-Sprint1'!B5</f>
        <v>Integración en Unity</v>
      </c>
      <c r="C11" s="69" t="s">
        <v>52</v>
      </c>
      <c r="D11" s="95">
        <f>'Pila-Sprint1'!C5</f>
        <v>5</v>
      </c>
      <c r="E11" s="69">
        <v>5</v>
      </c>
      <c r="F11" s="69">
        <v>5</v>
      </c>
      <c r="G11" s="69">
        <v>5</v>
      </c>
      <c r="H11" s="69">
        <v>5</v>
      </c>
      <c r="I11" s="69">
        <v>5</v>
      </c>
      <c r="J11" s="69">
        <v>5</v>
      </c>
      <c r="K11" s="69">
        <v>5</v>
      </c>
      <c r="L11" s="69">
        <v>5</v>
      </c>
      <c r="M11" s="69">
        <v>5</v>
      </c>
      <c r="N11" s="69">
        <v>5</v>
      </c>
      <c r="O11" s="69">
        <v>5</v>
      </c>
      <c r="P11" s="69">
        <v>5</v>
      </c>
      <c r="Q11" s="69">
        <v>5</v>
      </c>
      <c r="R11" s="69">
        <v>5</v>
      </c>
      <c r="S11" s="69">
        <v>5</v>
      </c>
      <c r="T11" s="69">
        <v>5</v>
      </c>
      <c r="U11" s="69">
        <v>2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</row>
    <row r="12" spans="1:31" x14ac:dyDescent="0.3">
      <c r="A12" s="87" t="str">
        <f>'Pila-Sprint1'!A6</f>
        <v>ID001_T3</v>
      </c>
      <c r="B12" s="69" t="str">
        <f>'Pila-Sprint1'!B6</f>
        <v>Gestión de errores y pruebas</v>
      </c>
      <c r="C12" s="69" t="s">
        <v>52</v>
      </c>
      <c r="D12" s="95">
        <f>'Pila-Sprint1'!C6</f>
        <v>2</v>
      </c>
      <c r="E12" s="69">
        <v>2</v>
      </c>
      <c r="F12" s="69">
        <v>2</v>
      </c>
      <c r="G12" s="69">
        <v>2</v>
      </c>
      <c r="H12" s="69">
        <v>2</v>
      </c>
      <c r="I12" s="69">
        <v>2</v>
      </c>
      <c r="J12" s="69">
        <v>2</v>
      </c>
      <c r="K12" s="69">
        <v>2</v>
      </c>
      <c r="L12" s="69">
        <v>2</v>
      </c>
      <c r="M12" s="69">
        <v>2</v>
      </c>
      <c r="N12" s="69">
        <v>2</v>
      </c>
      <c r="O12" s="69">
        <v>2</v>
      </c>
      <c r="P12" s="69">
        <v>2</v>
      </c>
      <c r="Q12" s="69">
        <v>2</v>
      </c>
      <c r="R12" s="69">
        <v>2</v>
      </c>
      <c r="S12" s="69">
        <v>2</v>
      </c>
      <c r="T12" s="69">
        <v>2</v>
      </c>
      <c r="U12" s="69">
        <v>2</v>
      </c>
      <c r="V12" s="69">
        <v>2</v>
      </c>
      <c r="W12" s="69">
        <v>2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</row>
    <row r="13" spans="1:31" ht="15" customHeight="1" x14ac:dyDescent="0.3">
      <c r="A13" s="87" t="str">
        <f>'Pila-Sprint1'!A8</f>
        <v>ID002_T1</v>
      </c>
      <c r="B13" s="69" t="str">
        <f>'Pila-Sprint1'!B8</f>
        <v>Estatuas (Pikachu, Charmander, Bulbasaur y Squirtle), objetos y cartas se muestran en zonas designadas del museo</v>
      </c>
      <c r="C13" s="69" t="s">
        <v>54</v>
      </c>
      <c r="D13" s="95">
        <f>'Pila-Sprint1'!C8</f>
        <v>5</v>
      </c>
      <c r="E13" s="69">
        <v>5</v>
      </c>
      <c r="F13" s="69">
        <v>5</v>
      </c>
      <c r="G13" s="69">
        <v>5</v>
      </c>
      <c r="H13" s="69">
        <v>5</v>
      </c>
      <c r="I13" s="69">
        <v>5</v>
      </c>
      <c r="J13" s="69">
        <v>5</v>
      </c>
      <c r="K13" s="69">
        <v>5</v>
      </c>
      <c r="L13" s="69">
        <v>5</v>
      </c>
      <c r="M13" s="69">
        <v>5</v>
      </c>
      <c r="N13" s="69">
        <v>5</v>
      </c>
      <c r="O13" s="69">
        <v>5</v>
      </c>
      <c r="P13" s="69">
        <v>5</v>
      </c>
      <c r="Q13" s="69">
        <v>5</v>
      </c>
      <c r="R13" s="69">
        <v>5</v>
      </c>
      <c r="S13" s="69">
        <v>5</v>
      </c>
      <c r="T13" s="69">
        <v>5</v>
      </c>
      <c r="U13" s="69">
        <v>5</v>
      </c>
      <c r="V13" s="69">
        <v>2</v>
      </c>
      <c r="W13" s="69">
        <v>2</v>
      </c>
      <c r="X13" s="69">
        <v>2</v>
      </c>
      <c r="Y13" s="69">
        <v>2</v>
      </c>
      <c r="Z13" s="69">
        <v>2</v>
      </c>
      <c r="AA13" s="69">
        <v>2</v>
      </c>
      <c r="AB13" s="69">
        <v>2</v>
      </c>
      <c r="AC13" s="69">
        <v>0</v>
      </c>
      <c r="AD13" s="69">
        <v>0</v>
      </c>
      <c r="AE13" s="69">
        <v>0</v>
      </c>
    </row>
    <row r="14" spans="1:31" x14ac:dyDescent="0.3">
      <c r="A14" s="87" t="str">
        <f>'Pila-Sprint1'!A9</f>
        <v>ID002_T2</v>
      </c>
      <c r="B14" s="69" t="str">
        <f>'Pila-Sprint1'!B9</f>
        <v>Tooltip interactivo con nombre y descripción del Pokémon/objeto/carta</v>
      </c>
      <c r="C14" s="69" t="s">
        <v>54</v>
      </c>
      <c r="D14" s="95">
        <f>'Pila-Sprint1'!C9</f>
        <v>2</v>
      </c>
      <c r="E14" s="69">
        <v>2</v>
      </c>
      <c r="F14" s="69">
        <v>2</v>
      </c>
      <c r="G14" s="69">
        <v>2</v>
      </c>
      <c r="H14" s="69">
        <v>2</v>
      </c>
      <c r="I14" s="69">
        <v>2</v>
      </c>
      <c r="J14" s="69">
        <v>2</v>
      </c>
      <c r="K14" s="69">
        <v>2</v>
      </c>
      <c r="L14" s="69">
        <v>2</v>
      </c>
      <c r="M14" s="69">
        <v>2</v>
      </c>
      <c r="N14" s="69">
        <v>2</v>
      </c>
      <c r="O14" s="69">
        <v>2</v>
      </c>
      <c r="P14" s="69">
        <v>2</v>
      </c>
      <c r="Q14" s="69">
        <v>2</v>
      </c>
      <c r="R14" s="69">
        <v>2</v>
      </c>
      <c r="S14" s="69">
        <v>2</v>
      </c>
      <c r="T14" s="69">
        <v>2</v>
      </c>
      <c r="U14" s="69">
        <v>2</v>
      </c>
      <c r="V14" s="69">
        <v>2</v>
      </c>
      <c r="W14" s="69">
        <v>2</v>
      </c>
      <c r="X14" s="69">
        <v>4</v>
      </c>
      <c r="Y14" s="69">
        <v>4</v>
      </c>
      <c r="Z14" s="69">
        <v>4</v>
      </c>
      <c r="AA14" s="69">
        <v>4</v>
      </c>
      <c r="AB14" s="69">
        <v>4</v>
      </c>
      <c r="AC14" s="69">
        <v>5</v>
      </c>
      <c r="AD14" s="69">
        <v>5</v>
      </c>
      <c r="AE14" s="69">
        <v>5</v>
      </c>
    </row>
    <row r="15" spans="1:31" x14ac:dyDescent="0.3">
      <c r="A15" s="87" t="str">
        <f>'Pila-Sprint1'!A11</f>
        <v>ID003_T1</v>
      </c>
      <c r="B15" s="69" t="str">
        <f>'Pila-Sprint1'!B11</f>
        <v>Las Poké Balls se pueden coger y lanzar</v>
      </c>
      <c r="C15" s="69" t="s">
        <v>53</v>
      </c>
      <c r="D15" s="95">
        <f>'Pila-Sprint1'!C11</f>
        <v>2</v>
      </c>
      <c r="E15" s="69">
        <v>2</v>
      </c>
      <c r="F15" s="69">
        <v>2</v>
      </c>
      <c r="G15" s="69">
        <v>2</v>
      </c>
      <c r="H15" s="69">
        <v>2</v>
      </c>
      <c r="I15" s="69">
        <v>2</v>
      </c>
      <c r="J15" s="69">
        <v>2</v>
      </c>
      <c r="K15" s="69">
        <v>2</v>
      </c>
      <c r="L15" s="69">
        <v>2</v>
      </c>
      <c r="M15" s="69">
        <v>2</v>
      </c>
      <c r="N15" s="69">
        <v>2</v>
      </c>
      <c r="O15" s="69">
        <v>2</v>
      </c>
      <c r="P15" s="69">
        <v>2</v>
      </c>
      <c r="Q15" s="69">
        <v>2</v>
      </c>
      <c r="R15" s="69">
        <v>2</v>
      </c>
      <c r="S15" s="69">
        <v>2</v>
      </c>
      <c r="T15" s="69">
        <v>2</v>
      </c>
      <c r="U15" s="69">
        <v>2</v>
      </c>
      <c r="V15" s="69">
        <v>2</v>
      </c>
      <c r="W15" s="69">
        <v>2</v>
      </c>
      <c r="X15" s="69">
        <v>4</v>
      </c>
      <c r="Y15" s="69">
        <v>4</v>
      </c>
      <c r="Z15" s="69">
        <v>4</v>
      </c>
      <c r="AA15" s="69">
        <v>4</v>
      </c>
      <c r="AB15" s="69">
        <v>4</v>
      </c>
      <c r="AC15" s="69">
        <v>2</v>
      </c>
      <c r="AD15" s="69">
        <v>2</v>
      </c>
      <c r="AE15" s="69">
        <v>2</v>
      </c>
    </row>
    <row r="16" spans="1:31" x14ac:dyDescent="0.3">
      <c r="A16" s="87" t="str">
        <f>'Pila-Sprint1'!A12</f>
        <v>ID003_T2</v>
      </c>
      <c r="B16" s="69" t="str">
        <f>'Pila-Sprint1'!B12</f>
        <v>Las Poké Balls emiten sonido y partículas</v>
      </c>
      <c r="C16" s="69" t="s">
        <v>53</v>
      </c>
      <c r="D16" s="95">
        <f>'Pila-Sprint1'!C12</f>
        <v>1</v>
      </c>
      <c r="E16" s="69">
        <v>1</v>
      </c>
      <c r="F16" s="69">
        <v>1</v>
      </c>
      <c r="G16" s="69">
        <v>1</v>
      </c>
      <c r="H16" s="69">
        <v>1</v>
      </c>
      <c r="I16" s="69">
        <v>1</v>
      </c>
      <c r="J16" s="69">
        <v>1</v>
      </c>
      <c r="K16" s="69">
        <v>1</v>
      </c>
      <c r="L16" s="69">
        <v>1</v>
      </c>
      <c r="M16" s="69">
        <v>1</v>
      </c>
      <c r="N16" s="69">
        <v>1</v>
      </c>
      <c r="O16" s="69">
        <v>1</v>
      </c>
      <c r="P16" s="69">
        <v>1</v>
      </c>
      <c r="Q16" s="69">
        <v>1</v>
      </c>
      <c r="R16" s="69">
        <v>1</v>
      </c>
      <c r="S16" s="69">
        <v>1</v>
      </c>
      <c r="T16" s="69">
        <v>1</v>
      </c>
      <c r="U16" s="69">
        <v>1</v>
      </c>
      <c r="V16" s="69">
        <v>1</v>
      </c>
      <c r="W16" s="69">
        <v>1</v>
      </c>
      <c r="X16" s="69">
        <v>1</v>
      </c>
      <c r="Y16" s="69">
        <v>1</v>
      </c>
      <c r="Z16" s="69">
        <v>1</v>
      </c>
      <c r="AA16" s="69">
        <v>1</v>
      </c>
      <c r="AB16" s="69">
        <v>1</v>
      </c>
      <c r="AC16" s="69">
        <v>1</v>
      </c>
      <c r="AD16" s="69">
        <v>1</v>
      </c>
      <c r="AE16" s="69">
        <v>1</v>
      </c>
    </row>
    <row r="17" spans="1:31" x14ac:dyDescent="0.3">
      <c r="A17" s="87" t="str">
        <f>'Pila-Sprint1'!A13</f>
        <v>ID003_T3</v>
      </c>
      <c r="B17" s="69" t="str">
        <f>'Pila-Sprint1'!B13</f>
        <v>Se reproduce una animación de "apertura" al llegar al suelo</v>
      </c>
      <c r="C17" s="69" t="s">
        <v>53</v>
      </c>
      <c r="D17" s="95">
        <f>'Pila-Sprint1'!C13</f>
        <v>2</v>
      </c>
      <c r="E17" s="69">
        <v>2</v>
      </c>
      <c r="F17" s="69">
        <v>2</v>
      </c>
      <c r="G17" s="69">
        <v>2</v>
      </c>
      <c r="H17" s="69">
        <v>2</v>
      </c>
      <c r="I17" s="69">
        <v>2</v>
      </c>
      <c r="J17" s="69">
        <v>2</v>
      </c>
      <c r="K17" s="69">
        <v>2</v>
      </c>
      <c r="L17" s="69">
        <v>2</v>
      </c>
      <c r="M17" s="69">
        <v>2</v>
      </c>
      <c r="N17" s="69">
        <v>2</v>
      </c>
      <c r="O17" s="69">
        <v>2</v>
      </c>
      <c r="P17" s="69">
        <v>2</v>
      </c>
      <c r="Q17" s="69">
        <v>2</v>
      </c>
      <c r="R17" s="69">
        <v>2</v>
      </c>
      <c r="S17" s="69">
        <v>2</v>
      </c>
      <c r="T17" s="69">
        <v>2</v>
      </c>
      <c r="U17" s="69">
        <v>2</v>
      </c>
      <c r="V17" s="69">
        <v>2</v>
      </c>
      <c r="W17" s="69">
        <v>2</v>
      </c>
      <c r="X17" s="69">
        <v>2</v>
      </c>
      <c r="Y17" s="69">
        <v>2</v>
      </c>
      <c r="Z17" s="69">
        <v>2</v>
      </c>
      <c r="AA17" s="69">
        <v>2</v>
      </c>
      <c r="AB17" s="69">
        <v>2</v>
      </c>
      <c r="AC17" s="69">
        <v>2</v>
      </c>
      <c r="AD17" s="69">
        <v>2</v>
      </c>
      <c r="AE17" s="69">
        <v>2</v>
      </c>
    </row>
    <row r="18" spans="1:31" x14ac:dyDescent="0.3">
      <c r="A18" s="87" t="str">
        <f>'Pila-Sprint1'!A15</f>
        <v>ID004_T1</v>
      </c>
      <c r="B18" s="69" t="str">
        <f>'Pila-Sprint1'!B14</f>
        <v>Como Usuario quiero cada objeto escalado adecuadamente para poseer una percepción realista</v>
      </c>
      <c r="C18" s="69" t="s">
        <v>43</v>
      </c>
      <c r="D18" s="95">
        <f>'Pila-Sprint1'!C15</f>
        <v>2</v>
      </c>
      <c r="E18" s="69">
        <v>2</v>
      </c>
      <c r="F18" s="69">
        <v>2</v>
      </c>
      <c r="G18" s="69">
        <v>2</v>
      </c>
      <c r="H18" s="69">
        <v>2</v>
      </c>
      <c r="I18" s="69">
        <v>2</v>
      </c>
      <c r="J18" s="69">
        <v>2</v>
      </c>
      <c r="K18" s="69">
        <v>2</v>
      </c>
      <c r="L18" s="69">
        <v>2</v>
      </c>
      <c r="M18" s="69">
        <v>2</v>
      </c>
      <c r="N18" s="69">
        <v>2</v>
      </c>
      <c r="O18" s="69">
        <v>2</v>
      </c>
      <c r="P18" s="69">
        <v>2</v>
      </c>
      <c r="Q18" s="69">
        <v>2</v>
      </c>
      <c r="R18" s="69">
        <v>2</v>
      </c>
      <c r="S18" s="69">
        <v>2</v>
      </c>
      <c r="T18" s="69">
        <v>2</v>
      </c>
      <c r="U18" s="69">
        <v>2</v>
      </c>
      <c r="V18" s="69">
        <v>2</v>
      </c>
      <c r="W18" s="69">
        <v>2</v>
      </c>
      <c r="X18" s="69">
        <v>2</v>
      </c>
      <c r="Y18" s="69">
        <v>2</v>
      </c>
      <c r="Z18" s="69">
        <v>2</v>
      </c>
      <c r="AA18" s="69">
        <v>2</v>
      </c>
      <c r="AB18" s="69">
        <v>2</v>
      </c>
      <c r="AC18" s="69">
        <v>0</v>
      </c>
      <c r="AD18" s="69">
        <v>0</v>
      </c>
      <c r="AE18" s="69">
        <v>0</v>
      </c>
    </row>
    <row r="19" spans="1:31" x14ac:dyDescent="0.3">
      <c r="C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31" x14ac:dyDescent="0.3">
      <c r="C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31" x14ac:dyDescent="0.3"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31" x14ac:dyDescent="0.3"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31" x14ac:dyDescent="0.3"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31" x14ac:dyDescent="0.3"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31" x14ac:dyDescent="0.3"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31" x14ac:dyDescent="0.3"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31" x14ac:dyDescent="0.3"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31" x14ac:dyDescent="0.3"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31" x14ac:dyDescent="0.3"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31" x14ac:dyDescent="0.3"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31" x14ac:dyDescent="0.3"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31" x14ac:dyDescent="0.3"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4:14" x14ac:dyDescent="0.3"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4:14" x14ac:dyDescent="0.3"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4:14" x14ac:dyDescent="0.3"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4:14" x14ac:dyDescent="0.3"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4:14" x14ac:dyDescent="0.3"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4:14" x14ac:dyDescent="0.3"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4:14" x14ac:dyDescent="0.3"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4:14" x14ac:dyDescent="0.3"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3">
    <mergeCell ref="A6:C6"/>
    <mergeCell ref="A7:C7"/>
    <mergeCell ref="E9:AE9"/>
  </mergeCells>
  <conditionalFormatting sqref="E3:AE3">
    <cfRule type="cellIs" dxfId="7" priority="1" stopIfTrue="1" operator="equal">
      <formula>"S"</formula>
    </cfRule>
    <cfRule type="cellIs" dxfId="6" priority="2" stopIfTrue="1" operator="equal">
      <formula>"D"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C54"/>
  <sheetViews>
    <sheetView zoomScaleNormal="100" workbookViewId="0"/>
  </sheetViews>
  <sheetFormatPr baseColWidth="10" defaultColWidth="11.44140625" defaultRowHeight="14.4" x14ac:dyDescent="0.3"/>
  <cols>
    <col min="1" max="1" width="12.33203125" style="1" customWidth="1"/>
    <col min="2" max="2" width="104.6640625" style="1" customWidth="1"/>
    <col min="3" max="3" width="14.44140625" style="2" bestFit="1" customWidth="1"/>
    <col min="4" max="4" width="14.6640625" style="1" customWidth="1"/>
    <col min="5" max="55" width="5.6640625" style="1" customWidth="1"/>
    <col min="56" max="57" width="11.44140625" style="1"/>
    <col min="58" max="58" width="5.6640625" style="1" customWidth="1"/>
    <col min="59" max="16384" width="11.44140625" style="1"/>
  </cols>
  <sheetData>
    <row r="2" spans="1:31" x14ac:dyDescent="0.3">
      <c r="A2" s="49"/>
      <c r="B2" s="49"/>
      <c r="C2" s="28"/>
      <c r="D2" s="28"/>
      <c r="E2" s="28"/>
      <c r="F2" s="29"/>
      <c r="G2" s="28"/>
      <c r="H2" s="28"/>
      <c r="I2" s="28"/>
      <c r="J2" s="28"/>
      <c r="K2" s="28"/>
      <c r="L2" s="28"/>
      <c r="M2" s="28"/>
      <c r="N2" s="28"/>
    </row>
    <row r="3" spans="1:31" x14ac:dyDescent="0.3">
      <c r="A3" s="50"/>
      <c r="B3" s="51"/>
      <c r="C3" s="28"/>
      <c r="D3" s="28"/>
      <c r="E3" s="30" t="str">
        <f>IF(E4=0," ",CHOOSE(WEEKDAY(E4,2),"L","M","X","J","V","S","D"))</f>
        <v>X</v>
      </c>
      <c r="F3" s="30" t="str">
        <f>IF(F4=0," ",CHOOSE(WEEKDAY(F4,2),"L","M","X","J","V","S","D"))</f>
        <v>J</v>
      </c>
      <c r="G3" s="30" t="str">
        <f>IF(G4=0," ",CHOOSE(WEEKDAY(G4,2),"L","M","X","J","V","S","D"))</f>
        <v>V</v>
      </c>
      <c r="H3" s="30" t="str">
        <f t="shared" ref="H3:V3" si="0">IF(H4=0," ",CHOOSE(WEEKDAY(H4,2),"L","M","X","J","V","S","D"))</f>
        <v>S</v>
      </c>
      <c r="I3" s="30" t="str">
        <f t="shared" si="0"/>
        <v>D</v>
      </c>
      <c r="J3" s="30" t="str">
        <f t="shared" si="0"/>
        <v>L</v>
      </c>
      <c r="K3" s="30" t="str">
        <f t="shared" si="0"/>
        <v>M</v>
      </c>
      <c r="L3" s="30" t="str">
        <f t="shared" si="0"/>
        <v>X</v>
      </c>
      <c r="M3" s="30" t="str">
        <f t="shared" si="0"/>
        <v>J</v>
      </c>
      <c r="N3" s="30" t="str">
        <f t="shared" si="0"/>
        <v>V</v>
      </c>
      <c r="O3" s="30" t="str">
        <f t="shared" si="0"/>
        <v>S</v>
      </c>
      <c r="P3" s="30" t="str">
        <f t="shared" si="0"/>
        <v>D</v>
      </c>
      <c r="Q3" s="30" t="str">
        <f t="shared" si="0"/>
        <v>L</v>
      </c>
      <c r="R3" s="30" t="str">
        <f t="shared" si="0"/>
        <v>M</v>
      </c>
      <c r="S3" s="30" t="str">
        <f t="shared" si="0"/>
        <v>X</v>
      </c>
      <c r="T3" s="30" t="str">
        <f t="shared" si="0"/>
        <v>J</v>
      </c>
      <c r="U3" s="30" t="str">
        <f t="shared" si="0"/>
        <v>V</v>
      </c>
      <c r="V3" s="30" t="str">
        <f t="shared" si="0"/>
        <v>S</v>
      </c>
      <c r="W3" s="30" t="str">
        <f t="shared" ref="W3" si="1">IF(W4=0," ",CHOOSE(WEEKDAY(W4,2),"L","M","X","J","V","S","D"))</f>
        <v>D</v>
      </c>
      <c r="X3" s="30" t="str">
        <f t="shared" ref="X3" si="2">IF(X4=0," ",CHOOSE(WEEKDAY(X4,2),"L","M","X","J","V","S","D"))</f>
        <v>L</v>
      </c>
      <c r="Y3" s="30" t="str">
        <f t="shared" ref="Y3" si="3">IF(Y4=0," ",CHOOSE(WEEKDAY(Y4,2),"L","M","X","J","V","S","D"))</f>
        <v>M</v>
      </c>
      <c r="Z3" s="30" t="str">
        <f t="shared" ref="Z3" si="4">IF(Z4=0," ",CHOOSE(WEEKDAY(Z4,2),"L","M","X","J","V","S","D"))</f>
        <v>X</v>
      </c>
      <c r="AA3" s="30" t="str">
        <f t="shared" ref="AA3" si="5">IF(AA4=0," ",CHOOSE(WEEKDAY(AA4,2),"L","M","X","J","V","S","D"))</f>
        <v>J</v>
      </c>
      <c r="AB3" s="30" t="str">
        <f t="shared" ref="AB3" si="6">IF(AB4=0," ",CHOOSE(WEEKDAY(AB4,2),"L","M","X","J","V","S","D"))</f>
        <v>V</v>
      </c>
      <c r="AC3" s="30" t="str">
        <f t="shared" ref="AC3" si="7">IF(AC4=0," ",CHOOSE(WEEKDAY(AC4,2),"L","M","X","J","V","S","D"))</f>
        <v>S</v>
      </c>
      <c r="AD3" s="30" t="str">
        <f t="shared" ref="AD3" si="8">IF(AD4=0," ",CHOOSE(WEEKDAY(AD4,2),"L","M","X","J","V","S","D"))</f>
        <v>D</v>
      </c>
      <c r="AE3" s="30" t="str">
        <f t="shared" ref="AE3" si="9">IF(AE4=0," ",CHOOSE(WEEKDAY(AE4,2),"L","M","X","J","V","S","D"))</f>
        <v>L</v>
      </c>
    </row>
    <row r="4" spans="1:31" ht="36" x14ac:dyDescent="0.3">
      <c r="A4" s="31"/>
      <c r="B4" s="31"/>
      <c r="C4" s="31"/>
      <c r="D4" s="31"/>
      <c r="E4" s="32">
        <v>45931</v>
      </c>
      <c r="F4" s="32">
        <v>45932</v>
      </c>
      <c r="G4" s="32">
        <v>45933</v>
      </c>
      <c r="H4" s="32">
        <v>45934</v>
      </c>
      <c r="I4" s="32">
        <v>45935</v>
      </c>
      <c r="J4" s="32">
        <v>45936</v>
      </c>
      <c r="K4" s="32">
        <v>45937</v>
      </c>
      <c r="L4" s="32">
        <v>45938</v>
      </c>
      <c r="M4" s="32">
        <v>45939</v>
      </c>
      <c r="N4" s="32">
        <v>45940</v>
      </c>
      <c r="O4" s="32">
        <v>45941</v>
      </c>
      <c r="P4" s="32">
        <v>45942</v>
      </c>
      <c r="Q4" s="32">
        <v>45943</v>
      </c>
      <c r="R4" s="32">
        <v>45944</v>
      </c>
      <c r="S4" s="32">
        <v>45945</v>
      </c>
      <c r="T4" s="32">
        <v>45946</v>
      </c>
      <c r="U4" s="32">
        <v>45947</v>
      </c>
      <c r="V4" s="32">
        <v>45948</v>
      </c>
      <c r="W4" s="32">
        <v>45949</v>
      </c>
      <c r="X4" s="32">
        <v>45950</v>
      </c>
      <c r="Y4" s="32">
        <v>45951</v>
      </c>
      <c r="Z4" s="32">
        <v>45952</v>
      </c>
      <c r="AA4" s="32">
        <v>45953</v>
      </c>
      <c r="AB4" s="32">
        <v>45954</v>
      </c>
      <c r="AC4" s="32">
        <v>45955</v>
      </c>
      <c r="AD4" s="32">
        <v>45956</v>
      </c>
      <c r="AE4" s="32">
        <v>45957</v>
      </c>
    </row>
    <row r="5" spans="1:31" x14ac:dyDescent="0.3">
      <c r="A5" s="31"/>
      <c r="B5" s="31"/>
      <c r="C5" s="31"/>
      <c r="D5" s="31"/>
      <c r="E5" s="33" t="str">
        <f ca="1">IF(AND(D4&lt;TODAY(),TODAY()&lt;(E4+1),E4&lt;&gt;""),"ACTUAL","")</f>
        <v/>
      </c>
      <c r="F5" s="33" t="str">
        <f ca="1">IF(AND(E4&lt;TODAY(),TODAY()&lt;(F4+1),F4&lt;&gt;""),"ACTUAL","")</f>
        <v/>
      </c>
      <c r="G5" s="33" t="str">
        <f ca="1">IF(AND(F4&lt;TODAY(),TODAY()&lt;(G4+1),G4&lt;&gt;""),"ACTUAL","")</f>
        <v/>
      </c>
      <c r="H5" s="33" t="str">
        <f t="shared" ref="H5:V5" ca="1" si="10">IF(AND(G4&lt;TODAY(),TODAY()&lt;(H4+1),H4&lt;&gt;""),"ACTUAL","")</f>
        <v/>
      </c>
      <c r="I5" s="33" t="str">
        <f t="shared" ca="1" si="10"/>
        <v/>
      </c>
      <c r="J5" s="33" t="str">
        <f t="shared" ca="1" si="10"/>
        <v/>
      </c>
      <c r="K5" s="33" t="str">
        <f t="shared" ca="1" si="10"/>
        <v/>
      </c>
      <c r="L5" s="33" t="str">
        <f t="shared" ca="1" si="10"/>
        <v/>
      </c>
      <c r="M5" s="33" t="str">
        <f t="shared" ca="1" si="10"/>
        <v/>
      </c>
      <c r="N5" s="33" t="str">
        <f t="shared" ca="1" si="10"/>
        <v/>
      </c>
      <c r="O5" s="33" t="str">
        <f t="shared" ca="1" si="10"/>
        <v/>
      </c>
      <c r="P5" s="33" t="str">
        <f t="shared" ca="1" si="10"/>
        <v/>
      </c>
      <c r="Q5" s="33" t="str">
        <f t="shared" ca="1" si="10"/>
        <v/>
      </c>
      <c r="R5" s="33" t="str">
        <f t="shared" ca="1" si="10"/>
        <v/>
      </c>
      <c r="S5" s="33" t="str">
        <f t="shared" ca="1" si="10"/>
        <v/>
      </c>
      <c r="T5" s="33" t="str">
        <f t="shared" ca="1" si="10"/>
        <v/>
      </c>
      <c r="U5" s="33" t="str">
        <f t="shared" ca="1" si="10"/>
        <v/>
      </c>
      <c r="V5" s="33" t="str">
        <f t="shared" ca="1" si="10"/>
        <v/>
      </c>
      <c r="W5" s="33" t="str">
        <f t="shared" ref="W5" ca="1" si="11">IF(AND(V4&lt;TODAY(),TODAY()&lt;(W4+1),W4&lt;&gt;""),"ACTUAL","")</f>
        <v/>
      </c>
      <c r="X5" s="33" t="str">
        <f t="shared" ref="X5" ca="1" si="12">IF(AND(W4&lt;TODAY(),TODAY()&lt;(X4+1),X4&lt;&gt;""),"ACTUAL","")</f>
        <v/>
      </c>
      <c r="Y5" s="33" t="str">
        <f t="shared" ref="Y5" ca="1" si="13">IF(AND(X4&lt;TODAY(),TODAY()&lt;(Y4+1),Y4&lt;&gt;""),"ACTUAL","")</f>
        <v/>
      </c>
      <c r="Z5" s="33" t="str">
        <f t="shared" ref="Z5" ca="1" si="14">IF(AND(Y4&lt;TODAY(),TODAY()&lt;(Z4+1),Z4&lt;&gt;""),"ACTUAL","")</f>
        <v/>
      </c>
      <c r="AA5" s="33" t="str">
        <f t="shared" ref="AA5" ca="1" si="15">IF(AND(Z4&lt;TODAY(),TODAY()&lt;(AA4+1),AA4&lt;&gt;""),"ACTUAL","")</f>
        <v/>
      </c>
      <c r="AB5" s="33" t="str">
        <f t="shared" ref="AB5" ca="1" si="16">IF(AND(AA4&lt;TODAY(),TODAY()&lt;(AB4+1),AB4&lt;&gt;""),"ACTUAL","")</f>
        <v/>
      </c>
      <c r="AC5" s="33" t="str">
        <f t="shared" ref="AC5" ca="1" si="17">IF(AND(AB4&lt;TODAY(),TODAY()&lt;(AC4+1),AC4&lt;&gt;""),"ACTUAL","")</f>
        <v/>
      </c>
      <c r="AD5" s="33" t="str">
        <f t="shared" ref="AD5" ca="1" si="18">IF(AND(AC4&lt;TODAY(),TODAY()&lt;(AD4+1),AD4&lt;&gt;""),"ACTUAL","")</f>
        <v/>
      </c>
      <c r="AE5" s="33" t="str">
        <f t="shared" ref="AE5" ca="1" si="19">IF(AND(AD4&lt;TODAY(),TODAY()&lt;(AE4+1),AE4&lt;&gt;""),"ACTUAL","")</f>
        <v/>
      </c>
    </row>
    <row r="6" spans="1:31" ht="15" x14ac:dyDescent="0.3">
      <c r="A6" s="126" t="s">
        <v>39</v>
      </c>
      <c r="B6" s="127"/>
      <c r="C6" s="128"/>
      <c r="D6" s="35"/>
      <c r="E6" s="36">
        <f>SUM($E$10:E18)</f>
        <v>0</v>
      </c>
      <c r="F6" s="36">
        <f>SUM($E$7:F7)</f>
        <v>0</v>
      </c>
      <c r="G6" s="36">
        <f>SUM($E$7:G7)</f>
        <v>0</v>
      </c>
      <c r="H6" s="36">
        <f>SUM($E$7:H7)</f>
        <v>0</v>
      </c>
      <c r="I6" s="36">
        <f>SUM($E$7:I7)</f>
        <v>0</v>
      </c>
      <c r="J6" s="36">
        <f>SUM($E$7:J7)</f>
        <v>2</v>
      </c>
      <c r="K6" s="36">
        <f>SUM($E$7:K7)</f>
        <v>2</v>
      </c>
      <c r="L6" s="36">
        <f>SUM($E$7:L7)</f>
        <v>2</v>
      </c>
      <c r="M6" s="36">
        <f>SUM($E$7:M7)</f>
        <v>2</v>
      </c>
      <c r="N6" s="36">
        <f>SUM($E$7:N7)</f>
        <v>2</v>
      </c>
      <c r="O6" s="36">
        <f>SUM($E$7:O7)</f>
        <v>2</v>
      </c>
      <c r="P6" s="36">
        <f>SUM($E$7:P7)</f>
        <v>2</v>
      </c>
      <c r="Q6" s="36">
        <f>SUM($E$7:Q7)</f>
        <v>4</v>
      </c>
      <c r="R6" s="36">
        <f>SUM($E$7:R7)</f>
        <v>4</v>
      </c>
      <c r="S6" s="36">
        <f>SUM($E$7:S7)</f>
        <v>4</v>
      </c>
      <c r="T6" s="36">
        <f>SUM($E$7:T7)</f>
        <v>4</v>
      </c>
      <c r="U6" s="36">
        <f>SUM($E$7:U7)</f>
        <v>8</v>
      </c>
      <c r="V6" s="36">
        <f>SUM($E$7:V7)</f>
        <v>14</v>
      </c>
      <c r="W6" s="36">
        <f>SUM($E$7:W7)</f>
        <v>16</v>
      </c>
      <c r="X6" s="36">
        <f>SUM($E$7:X7)</f>
        <v>20</v>
      </c>
      <c r="Y6" s="36">
        <f>SUM($E$7:Y7)</f>
        <v>20</v>
      </c>
      <c r="Z6" s="36">
        <f>SUM($E$7:Z7)</f>
        <v>20</v>
      </c>
      <c r="AA6" s="36">
        <f>SUM($E$7:AA7)</f>
        <v>20</v>
      </c>
      <c r="AB6" s="36">
        <f>SUM($E$7:AB7)</f>
        <v>20</v>
      </c>
      <c r="AC6" s="36">
        <f>SUM($E$7:AC7)</f>
        <v>30</v>
      </c>
      <c r="AD6" s="36">
        <f>SUM($E$7:AD7)</f>
        <v>30</v>
      </c>
      <c r="AE6" s="36">
        <f>SUM($E$7:AE7)</f>
        <v>31</v>
      </c>
    </row>
    <row r="7" spans="1:31" ht="15" customHeight="1" x14ac:dyDescent="0.3">
      <c r="A7" s="126" t="s">
        <v>30</v>
      </c>
      <c r="B7" s="127"/>
      <c r="C7" s="128"/>
      <c r="D7" s="37">
        <f>SUM(E7:G7)</f>
        <v>0</v>
      </c>
      <c r="E7" s="38">
        <f>SUM(E10:E18)</f>
        <v>0</v>
      </c>
      <c r="F7" s="38">
        <f>SUM(F10:F18)</f>
        <v>0</v>
      </c>
      <c r="G7" s="38">
        <f>SUM(G10:G18)</f>
        <v>0</v>
      </c>
      <c r="H7" s="38">
        <f t="shared" ref="G7:AE7" si="20">SUM(H10:H18)</f>
        <v>0</v>
      </c>
      <c r="I7" s="38">
        <f t="shared" si="20"/>
        <v>0</v>
      </c>
      <c r="J7" s="38">
        <f t="shared" si="20"/>
        <v>2</v>
      </c>
      <c r="K7" s="38">
        <f t="shared" si="20"/>
        <v>0</v>
      </c>
      <c r="L7" s="38">
        <f t="shared" si="20"/>
        <v>0</v>
      </c>
      <c r="M7" s="38">
        <f t="shared" si="20"/>
        <v>0</v>
      </c>
      <c r="N7" s="38">
        <f t="shared" si="20"/>
        <v>0</v>
      </c>
      <c r="O7" s="38">
        <f t="shared" si="20"/>
        <v>0</v>
      </c>
      <c r="P7" s="38">
        <f t="shared" si="20"/>
        <v>0</v>
      </c>
      <c r="Q7" s="38">
        <f t="shared" si="20"/>
        <v>2</v>
      </c>
      <c r="R7" s="38">
        <f t="shared" si="20"/>
        <v>0</v>
      </c>
      <c r="S7" s="38">
        <f t="shared" si="20"/>
        <v>0</v>
      </c>
      <c r="T7" s="38">
        <f t="shared" si="20"/>
        <v>0</v>
      </c>
      <c r="U7" s="38">
        <f t="shared" si="20"/>
        <v>4</v>
      </c>
      <c r="V7" s="38">
        <f t="shared" si="20"/>
        <v>6</v>
      </c>
      <c r="W7" s="38">
        <f t="shared" si="20"/>
        <v>2</v>
      </c>
      <c r="X7" s="38">
        <f t="shared" si="20"/>
        <v>4</v>
      </c>
      <c r="Y7" s="38">
        <f t="shared" si="20"/>
        <v>0</v>
      </c>
      <c r="Z7" s="38">
        <f t="shared" si="20"/>
        <v>0</v>
      </c>
      <c r="AA7" s="38">
        <f t="shared" si="20"/>
        <v>0</v>
      </c>
      <c r="AB7" s="38">
        <f t="shared" si="20"/>
        <v>0</v>
      </c>
      <c r="AC7" s="38">
        <f t="shared" si="20"/>
        <v>10</v>
      </c>
      <c r="AD7" s="38">
        <f t="shared" si="20"/>
        <v>0</v>
      </c>
      <c r="AE7" s="38">
        <f t="shared" si="20"/>
        <v>1</v>
      </c>
    </row>
    <row r="9" spans="1:31" s="23" customFormat="1" ht="21" customHeight="1" x14ac:dyDescent="0.3">
      <c r="A9" s="93" t="s">
        <v>0</v>
      </c>
      <c r="B9" s="93" t="s">
        <v>1</v>
      </c>
      <c r="C9" s="93" t="s">
        <v>34</v>
      </c>
      <c r="D9" s="93" t="s">
        <v>30</v>
      </c>
      <c r="E9" s="129" t="s">
        <v>33</v>
      </c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1"/>
    </row>
    <row r="10" spans="1:31" x14ac:dyDescent="0.3">
      <c r="A10" s="87" t="str">
        <f>'Pila-Sprint1'!A4</f>
        <v>ID001_T1</v>
      </c>
      <c r="B10" s="69" t="str">
        <f>'Pila-Sprint1'!B4</f>
        <v>Configurar la carga de modelos desde GitHub</v>
      </c>
      <c r="C10" s="69" t="str">
        <f>'Diario-Restante-Sprint1'!C10</f>
        <v>Scrum Team</v>
      </c>
      <c r="D10" s="95">
        <f t="shared" ref="D10:D18" si="21">SUM(E10:AE10)</f>
        <v>4</v>
      </c>
      <c r="E10" s="95"/>
      <c r="F10" s="95"/>
      <c r="G10" s="95"/>
      <c r="H10" s="95"/>
      <c r="I10" s="95"/>
      <c r="J10" s="95">
        <v>2</v>
      </c>
      <c r="K10" s="95"/>
      <c r="L10" s="95"/>
      <c r="M10" s="95"/>
      <c r="N10" s="95"/>
      <c r="O10" s="95"/>
      <c r="P10" s="95"/>
      <c r="Q10" s="95">
        <v>2</v>
      </c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</row>
    <row r="11" spans="1:31" x14ac:dyDescent="0.3">
      <c r="A11" s="87" t="str">
        <f>'Pila-Sprint1'!A5</f>
        <v>ID001_T2</v>
      </c>
      <c r="B11" s="69" t="str">
        <f>'Pila-Sprint1'!B5</f>
        <v>Integración en Unity</v>
      </c>
      <c r="C11" s="69" t="str">
        <f>'Diario-Restante-Sprint1'!C11</f>
        <v>Rodrigo</v>
      </c>
      <c r="D11" s="95">
        <f t="shared" si="21"/>
        <v>6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>
        <v>4</v>
      </c>
      <c r="V11" s="95">
        <v>2</v>
      </c>
      <c r="W11" s="95"/>
      <c r="X11" s="95"/>
      <c r="Y11" s="95"/>
      <c r="Z11" s="95"/>
      <c r="AA11" s="95"/>
      <c r="AB11" s="95"/>
      <c r="AC11" s="95"/>
      <c r="AD11" s="95"/>
      <c r="AE11" s="95"/>
    </row>
    <row r="12" spans="1:31" x14ac:dyDescent="0.3">
      <c r="A12" s="87" t="str">
        <f>'Pila-Sprint1'!A6</f>
        <v>ID001_T3</v>
      </c>
      <c r="B12" s="69" t="str">
        <f>'Pila-Sprint1'!B6</f>
        <v>Gestión de errores y pruebas</v>
      </c>
      <c r="C12" s="69" t="str">
        <f>'Diario-Restante-Sprint1'!C12</f>
        <v>Rodrigo</v>
      </c>
      <c r="D12" s="95">
        <f t="shared" si="21"/>
        <v>2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>
        <v>2</v>
      </c>
      <c r="Y12" s="95"/>
      <c r="Z12" s="95"/>
      <c r="AA12" s="95"/>
      <c r="AB12" s="95"/>
      <c r="AC12" s="95"/>
      <c r="AD12" s="95"/>
      <c r="AE12" s="95"/>
    </row>
    <row r="13" spans="1:31" ht="15" customHeight="1" x14ac:dyDescent="0.3">
      <c r="A13" s="87" t="str">
        <f>'Pila-Sprint1'!A8</f>
        <v>ID002_T1</v>
      </c>
      <c r="B13" s="69" t="str">
        <f>'Pila-Sprint1'!B8</f>
        <v>Estatuas (Pikachu, Charmander, Bulbasaur y Squirtle), objetos y cartas se muestran en zonas designadas del museo</v>
      </c>
      <c r="C13" s="69" t="str">
        <f>'Diario-Restante-Sprint1'!C13</f>
        <v>Iván</v>
      </c>
      <c r="D13" s="95">
        <f t="shared" si="21"/>
        <v>8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>
        <v>4</v>
      </c>
      <c r="W13" s="95"/>
      <c r="X13" s="95"/>
      <c r="Y13" s="95"/>
      <c r="Z13" s="95"/>
      <c r="AA13" s="95"/>
      <c r="AB13" s="95"/>
      <c r="AC13" s="95">
        <v>4</v>
      </c>
      <c r="AD13" s="95"/>
      <c r="AE13" s="95"/>
    </row>
    <row r="14" spans="1:31" x14ac:dyDescent="0.3">
      <c r="A14" s="87" t="str">
        <f>'Pila-Sprint1'!A9</f>
        <v>ID002_T2</v>
      </c>
      <c r="B14" s="69" t="str">
        <f>'Pila-Sprint1'!B9</f>
        <v>Tooltip interactivo con nombre y descripción del Pokémon/objeto/carta</v>
      </c>
      <c r="C14" s="69" t="str">
        <f>'Diario-Restante-Sprint1'!C14</f>
        <v>Iván</v>
      </c>
      <c r="D14" s="95">
        <f t="shared" si="21"/>
        <v>4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>
        <v>1</v>
      </c>
      <c r="Y14" s="95"/>
      <c r="Z14" s="95"/>
      <c r="AA14" s="95"/>
      <c r="AB14" s="95"/>
      <c r="AC14" s="95">
        <v>2</v>
      </c>
      <c r="AD14" s="95"/>
      <c r="AE14" s="95">
        <v>1</v>
      </c>
    </row>
    <row r="15" spans="1:31" x14ac:dyDescent="0.3">
      <c r="A15" s="87" t="str">
        <f>'Pila-Sprint1'!A11</f>
        <v>ID003_T1</v>
      </c>
      <c r="B15" s="69" t="str">
        <f>'Pila-Sprint1'!B11</f>
        <v>Las Poké Balls se pueden coger y lanzar</v>
      </c>
      <c r="C15" s="69" t="str">
        <f>'Diario-Restante-Sprint1'!C15</f>
        <v>Angelo</v>
      </c>
      <c r="D15" s="95">
        <f t="shared" si="21"/>
        <v>3</v>
      </c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>
        <v>1</v>
      </c>
      <c r="Y15" s="95"/>
      <c r="Z15" s="95"/>
      <c r="AA15" s="95"/>
      <c r="AB15" s="95"/>
      <c r="AC15" s="95">
        <v>2</v>
      </c>
      <c r="AD15" s="95"/>
      <c r="AE15" s="95"/>
    </row>
    <row r="16" spans="1:31" x14ac:dyDescent="0.3">
      <c r="A16" s="87" t="str">
        <f>'Pila-Sprint1'!A12</f>
        <v>ID003_T2</v>
      </c>
      <c r="B16" s="69" t="str">
        <f>'Pila-Sprint1'!B12</f>
        <v>Las Poké Balls emiten sonido y partículas</v>
      </c>
      <c r="C16" s="69" t="str">
        <f>'Diario-Restante-Sprint1'!C16</f>
        <v>Angelo</v>
      </c>
      <c r="D16" s="95">
        <f t="shared" si="21"/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</row>
    <row r="17" spans="1:31" x14ac:dyDescent="0.3">
      <c r="A17" s="87" t="str">
        <f>'Pila-Sprint1'!A13</f>
        <v>ID003_T3</v>
      </c>
      <c r="B17" s="69" t="str">
        <f>'Pila-Sprint1'!B13</f>
        <v>Se reproduce una animación de "apertura" al llegar al suelo</v>
      </c>
      <c r="C17" s="69" t="str">
        <f>'Diario-Restante-Sprint1'!C17</f>
        <v>Angelo</v>
      </c>
      <c r="D17" s="95">
        <f t="shared" si="21"/>
        <v>0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</row>
    <row r="18" spans="1:31" x14ac:dyDescent="0.3">
      <c r="A18" s="87" t="str">
        <f>'Pila-Sprint1'!A15</f>
        <v>ID004_T1</v>
      </c>
      <c r="B18" s="69" t="str">
        <f>'Pila-Sprint1'!B14</f>
        <v>Como Usuario quiero cada objeto escalado adecuadamente para poseer una percepción realista</v>
      </c>
      <c r="C18" s="69" t="str">
        <f>'Diario-Restante-Sprint1'!C18</f>
        <v>Scrum Team</v>
      </c>
      <c r="D18" s="95">
        <f t="shared" si="21"/>
        <v>4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>
        <v>2</v>
      </c>
      <c r="X18" s="95"/>
      <c r="Y18" s="95"/>
      <c r="Z18" s="95"/>
      <c r="AA18" s="95"/>
      <c r="AB18" s="95"/>
      <c r="AC18" s="95">
        <v>2</v>
      </c>
      <c r="AD18" s="95"/>
      <c r="AE18" s="95"/>
    </row>
    <row r="19" spans="1:31" x14ac:dyDescent="0.3">
      <c r="C19" s="1"/>
    </row>
    <row r="20" spans="1:31" x14ac:dyDescent="0.3">
      <c r="C20" s="1"/>
    </row>
    <row r="21" spans="1:31" x14ac:dyDescent="0.3">
      <c r="C21" s="1"/>
    </row>
    <row r="22" spans="1:31" x14ac:dyDescent="0.3">
      <c r="C22" s="1"/>
    </row>
    <row r="23" spans="1:31" x14ac:dyDescent="0.3">
      <c r="C23" s="1"/>
    </row>
    <row r="24" spans="1:31" x14ac:dyDescent="0.3">
      <c r="C24" s="1"/>
    </row>
    <row r="25" spans="1:31" x14ac:dyDescent="0.3">
      <c r="C25" s="1"/>
    </row>
    <row r="26" spans="1:31" x14ac:dyDescent="0.3">
      <c r="C26" s="1"/>
    </row>
    <row r="27" spans="1:31" x14ac:dyDescent="0.3">
      <c r="C27" s="1"/>
    </row>
    <row r="28" spans="1:31" x14ac:dyDescent="0.3">
      <c r="C28" s="1"/>
    </row>
    <row r="29" spans="1:31" x14ac:dyDescent="0.3">
      <c r="C29" s="1"/>
    </row>
    <row r="30" spans="1:31" x14ac:dyDescent="0.3">
      <c r="C30" s="1"/>
    </row>
    <row r="31" spans="1:31" x14ac:dyDescent="0.3">
      <c r="C31" s="1"/>
    </row>
    <row r="32" spans="1:31" x14ac:dyDescent="0.3">
      <c r="C32" s="1"/>
    </row>
    <row r="33" spans="3:55" x14ac:dyDescent="0.3">
      <c r="C33" s="1"/>
    </row>
    <row r="34" spans="3:55" x14ac:dyDescent="0.3">
      <c r="C34" s="1"/>
    </row>
    <row r="35" spans="3:55" x14ac:dyDescent="0.3">
      <c r="C35" s="1"/>
    </row>
    <row r="36" spans="3:55" x14ac:dyDescent="0.3"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</row>
    <row r="37" spans="3:55" x14ac:dyDescent="0.3"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</row>
    <row r="38" spans="3:55" x14ac:dyDescent="0.3"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</row>
    <row r="39" spans="3:55" x14ac:dyDescent="0.3"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</row>
    <row r="40" spans="3:55" x14ac:dyDescent="0.3"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</row>
    <row r="41" spans="3:55" x14ac:dyDescent="0.3"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</row>
    <row r="42" spans="3:55" x14ac:dyDescent="0.3"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</row>
    <row r="43" spans="3:55" x14ac:dyDescent="0.3"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</row>
    <row r="44" spans="3:55" x14ac:dyDescent="0.3"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</row>
    <row r="45" spans="3:55" x14ac:dyDescent="0.3"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</row>
    <row r="46" spans="3:55" x14ac:dyDescent="0.3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3:55" x14ac:dyDescent="0.3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3:55" x14ac:dyDescent="0.3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5:54" x14ac:dyDescent="0.3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5:54" x14ac:dyDescent="0.3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5:54" x14ac:dyDescent="0.3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5:54" x14ac:dyDescent="0.3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5:54" x14ac:dyDescent="0.3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5:54" x14ac:dyDescent="0.3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</sheetData>
  <mergeCells count="3">
    <mergeCell ref="A6:C6"/>
    <mergeCell ref="A7:C7"/>
    <mergeCell ref="E9:AE9"/>
  </mergeCells>
  <conditionalFormatting sqref="E3:AE3">
    <cfRule type="cellIs" dxfId="5" priority="1" stopIfTrue="1" operator="equal">
      <formula>"S"</formula>
    </cfRule>
    <cfRule type="cellIs" dxfId="4" priority="2" stopIfTrue="1" operator="equal">
      <formula>"D"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C29"/>
  <sheetViews>
    <sheetView zoomScaleNormal="100" workbookViewId="0"/>
  </sheetViews>
  <sheetFormatPr baseColWidth="10" defaultRowHeight="14.4" outlineLevelRow="1" x14ac:dyDescent="0.3"/>
  <cols>
    <col min="1" max="1" width="28.6640625" customWidth="1"/>
    <col min="2" max="3" width="8.88671875" customWidth="1"/>
    <col min="4" max="4" width="7.109375" customWidth="1"/>
    <col min="5" max="5" width="9.6640625" style="48" customWidth="1"/>
    <col min="6" max="6" width="9.6640625" customWidth="1"/>
    <col min="7" max="7" width="10.44140625" customWidth="1"/>
    <col min="8" max="9" width="11.109375" customWidth="1"/>
    <col min="10" max="11" width="11.88671875" customWidth="1"/>
  </cols>
  <sheetData>
    <row r="2" spans="5:5" x14ac:dyDescent="0.3">
      <c r="E2"/>
    </row>
    <row r="3" spans="5:5" x14ac:dyDescent="0.3">
      <c r="E3"/>
    </row>
    <row r="9" spans="5:5" x14ac:dyDescent="0.3">
      <c r="E9"/>
    </row>
    <row r="12" spans="5:5" x14ac:dyDescent="0.3">
      <c r="E12"/>
    </row>
    <row r="14" spans="5:5" x14ac:dyDescent="0.3">
      <c r="E14"/>
    </row>
    <row r="26" spans="1:29" x14ac:dyDescent="0.3">
      <c r="A26" s="46" t="s">
        <v>35</v>
      </c>
      <c r="B26" s="46"/>
      <c r="C26" s="46"/>
      <c r="E26"/>
    </row>
    <row r="27" spans="1:29" ht="36" x14ac:dyDescent="0.3">
      <c r="A27" s="46" t="s">
        <v>36</v>
      </c>
      <c r="B27" s="47">
        <f>'Pila-Sprint1'!C2</f>
        <v>24</v>
      </c>
      <c r="C27" s="32">
        <v>45931</v>
      </c>
      <c r="D27" s="32">
        <v>45932</v>
      </c>
      <c r="E27" s="32">
        <v>45933</v>
      </c>
      <c r="F27" s="32">
        <v>45934</v>
      </c>
      <c r="G27" s="32">
        <v>45935</v>
      </c>
      <c r="H27" s="32">
        <v>45936</v>
      </c>
      <c r="I27" s="32">
        <v>45937</v>
      </c>
      <c r="J27" s="32">
        <v>45938</v>
      </c>
      <c r="K27" s="32">
        <v>45939</v>
      </c>
      <c r="L27" s="32">
        <v>45940</v>
      </c>
      <c r="M27" s="32">
        <v>45941</v>
      </c>
      <c r="N27" s="32">
        <v>45942</v>
      </c>
      <c r="O27" s="32">
        <v>45943</v>
      </c>
      <c r="P27" s="32">
        <v>45944</v>
      </c>
      <c r="Q27" s="32">
        <v>45945</v>
      </c>
      <c r="R27" s="32">
        <v>45946</v>
      </c>
      <c r="S27" s="32">
        <v>45947</v>
      </c>
      <c r="T27" s="32">
        <v>45948</v>
      </c>
      <c r="U27" s="32">
        <v>45949</v>
      </c>
      <c r="V27" s="32">
        <v>45950</v>
      </c>
      <c r="W27" s="32">
        <v>45951</v>
      </c>
      <c r="X27" s="32">
        <v>45952</v>
      </c>
      <c r="Y27" s="32">
        <v>45953</v>
      </c>
      <c r="Z27" s="32">
        <v>45954</v>
      </c>
      <c r="AA27" s="32">
        <v>45955</v>
      </c>
      <c r="AB27" s="32">
        <v>45956</v>
      </c>
      <c r="AC27" s="32">
        <v>45957</v>
      </c>
    </row>
    <row r="28" spans="1:29" ht="15" x14ac:dyDescent="0.3">
      <c r="A28" s="46" t="s">
        <v>37</v>
      </c>
      <c r="B28" s="34"/>
      <c r="C28" s="96">
        <f>B27/27</f>
        <v>0.88888888888888884</v>
      </c>
      <c r="D28" s="96">
        <f>B27/27</f>
        <v>0.88888888888888884</v>
      </c>
      <c r="E28" s="96">
        <f>B27/27</f>
        <v>0.88888888888888884</v>
      </c>
      <c r="F28" s="96">
        <f>B27/27</f>
        <v>0.88888888888888884</v>
      </c>
      <c r="G28" s="96">
        <f>B27/27</f>
        <v>0.88888888888888884</v>
      </c>
      <c r="H28" s="96">
        <f>B27/27</f>
        <v>0.88888888888888884</v>
      </c>
      <c r="I28" s="96">
        <f>B27/27</f>
        <v>0.88888888888888884</v>
      </c>
      <c r="J28" s="96">
        <f>B27/27</f>
        <v>0.88888888888888884</v>
      </c>
      <c r="K28" s="96">
        <f>B27/27</f>
        <v>0.88888888888888884</v>
      </c>
      <c r="L28" s="96">
        <f>B27/27</f>
        <v>0.88888888888888884</v>
      </c>
      <c r="M28" s="96">
        <f>B27/27</f>
        <v>0.88888888888888884</v>
      </c>
      <c r="N28" s="96">
        <f>B27/27</f>
        <v>0.88888888888888884</v>
      </c>
      <c r="O28" s="96">
        <f>B27/27</f>
        <v>0.88888888888888884</v>
      </c>
      <c r="P28" s="96">
        <f>B27/27</f>
        <v>0.88888888888888884</v>
      </c>
      <c r="Q28" s="96">
        <f>B27/27</f>
        <v>0.88888888888888884</v>
      </c>
      <c r="R28" s="96">
        <f>B27/27</f>
        <v>0.88888888888888884</v>
      </c>
      <c r="S28" s="96">
        <f>B27/27</f>
        <v>0.88888888888888884</v>
      </c>
      <c r="T28" s="96">
        <f>B27/27</f>
        <v>0.88888888888888884</v>
      </c>
      <c r="U28" s="96">
        <f>B27/27</f>
        <v>0.88888888888888884</v>
      </c>
      <c r="V28" s="96">
        <f>B27/27</f>
        <v>0.88888888888888884</v>
      </c>
      <c r="W28" s="96">
        <f>B27/27</f>
        <v>0.88888888888888884</v>
      </c>
      <c r="X28" s="96">
        <f>B27/27</f>
        <v>0.88888888888888884</v>
      </c>
      <c r="Y28" s="96">
        <f>B27/27</f>
        <v>0.88888888888888884</v>
      </c>
      <c r="Z28" s="96">
        <f>B27/27</f>
        <v>0.88888888888888884</v>
      </c>
      <c r="AA28" s="96">
        <f>B27/27</f>
        <v>0.88888888888888884</v>
      </c>
      <c r="AB28" s="96">
        <f>B27/27</f>
        <v>0.88888888888888884</v>
      </c>
      <c r="AC28" s="96">
        <f>B27/27</f>
        <v>0.88888888888888884</v>
      </c>
    </row>
    <row r="29" spans="1:29" ht="15" outlineLevel="1" x14ac:dyDescent="0.3">
      <c r="A29" s="46" t="s">
        <v>38</v>
      </c>
      <c r="B29" s="34"/>
      <c r="C29" s="96">
        <f>B27</f>
        <v>24</v>
      </c>
      <c r="D29" s="96">
        <f>B27-SUM(C28:D28)</f>
        <v>22.222222222222221</v>
      </c>
      <c r="E29" s="96">
        <f>B27-SUM(C28:E28)</f>
        <v>21.333333333333332</v>
      </c>
      <c r="F29" s="96">
        <f>B27-SUM(C28:F28)</f>
        <v>20.444444444444443</v>
      </c>
      <c r="G29" s="96">
        <f>B27-SUM(C28:G28)</f>
        <v>19.555555555555557</v>
      </c>
      <c r="H29" s="96">
        <f>B27-SUM(C28:H28)</f>
        <v>18.666666666666664</v>
      </c>
      <c r="I29" s="96">
        <f>B27-SUM(C28:I28)</f>
        <v>17.777777777777779</v>
      </c>
      <c r="J29" s="96">
        <f>B27-SUM(C28:J28)</f>
        <v>16.888888888888886</v>
      </c>
      <c r="K29" s="96">
        <f>B27-SUM(C28:K28)</f>
        <v>15.999999999999998</v>
      </c>
      <c r="L29" s="96">
        <f>B27-SUM(C28:L28)</f>
        <v>15.111111111111109</v>
      </c>
      <c r="M29" s="96">
        <f>B27-SUM(C28:M28)</f>
        <v>14.22222222222222</v>
      </c>
      <c r="N29" s="96">
        <f>B27-SUM(C28:N28)</f>
        <v>13.33333333333333</v>
      </c>
      <c r="O29" s="96">
        <f>B27-SUM(C28:O28)</f>
        <v>12.444444444444441</v>
      </c>
      <c r="P29" s="96">
        <f>B27-SUM(C28:P28)</f>
        <v>11.555555555555552</v>
      </c>
      <c r="Q29" s="96">
        <f>B27-SUM(C28:Q28)</f>
        <v>10.666666666666663</v>
      </c>
      <c r="R29" s="96">
        <f>B27-SUM(C28:R28)</f>
        <v>9.7777777777777732</v>
      </c>
      <c r="S29" s="96">
        <f>B27-SUM(C28:S28)</f>
        <v>8.888888888888884</v>
      </c>
      <c r="T29" s="96">
        <f>B27-SUM(C28:T28)</f>
        <v>7.9999999999999964</v>
      </c>
      <c r="U29" s="96">
        <f>B27-SUM(C28:U28)</f>
        <v>7.1111111111111072</v>
      </c>
      <c r="V29" s="96">
        <f>B27-SUM(C28:V28)</f>
        <v>6.2222222222222179</v>
      </c>
      <c r="W29" s="96">
        <f>B27-SUM(C28:W28)</f>
        <v>5.3333333333333286</v>
      </c>
      <c r="X29" s="96">
        <f>B27-SUM(C28:X28)</f>
        <v>4.4444444444444393</v>
      </c>
      <c r="Y29" s="96">
        <f>B27-SUM(C28:Y28)</f>
        <v>3.55555555555555</v>
      </c>
      <c r="Z29" s="96">
        <f>B27-SUM(C28:Z28)</f>
        <v>2.6666666666666607</v>
      </c>
      <c r="AA29" s="96">
        <f>B27-SUM(C28:AA28)</f>
        <v>1.7777777777777715</v>
      </c>
      <c r="AB29" s="96">
        <f>B27-SUM(C28:AB28)</f>
        <v>0.88888888888888218</v>
      </c>
      <c r="AC29" s="96">
        <f>B27-SUM(C28:AC28)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workbookViewId="0"/>
  </sheetViews>
  <sheetFormatPr baseColWidth="10" defaultRowHeight="14.4" x14ac:dyDescent="0.3"/>
  <cols>
    <col min="1" max="1" width="70.88671875" customWidth="1"/>
    <col min="2" max="2" width="40.6640625" customWidth="1"/>
    <col min="3" max="3" width="80.6640625" customWidth="1"/>
  </cols>
  <sheetData>
    <row r="1" spans="1:3" ht="39.9" customHeight="1" x14ac:dyDescent="0.3">
      <c r="A1" s="68" t="s">
        <v>46</v>
      </c>
      <c r="B1" s="68" t="s">
        <v>47</v>
      </c>
      <c r="C1" s="68" t="s">
        <v>48</v>
      </c>
    </row>
    <row r="2" spans="1:3" ht="39.9" customHeight="1" x14ac:dyDescent="0.3">
      <c r="A2" s="92" t="s">
        <v>84</v>
      </c>
      <c r="B2" s="92" t="s">
        <v>85</v>
      </c>
      <c r="C2" s="92" t="s">
        <v>86</v>
      </c>
    </row>
    <row r="3" spans="1:3" ht="39.9" customHeight="1" x14ac:dyDescent="0.3">
      <c r="A3" s="92" t="s">
        <v>87</v>
      </c>
      <c r="B3" s="92" t="s">
        <v>89</v>
      </c>
      <c r="C3" s="92" t="s">
        <v>88</v>
      </c>
    </row>
    <row r="4" spans="1:3" ht="39.9" customHeight="1" x14ac:dyDescent="0.3">
      <c r="A4" s="92"/>
      <c r="B4" s="92" t="s">
        <v>90</v>
      </c>
      <c r="C4" s="92"/>
    </row>
    <row r="5" spans="1:3" ht="39.9" customHeight="1" x14ac:dyDescent="0.3">
      <c r="A5" s="92"/>
      <c r="B5" s="92"/>
      <c r="C5" s="92"/>
    </row>
    <row r="6" spans="1:3" ht="39.9" customHeight="1" x14ac:dyDescent="0.3">
      <c r="A6" s="92"/>
      <c r="B6" s="92"/>
      <c r="C6" s="92"/>
    </row>
    <row r="7" spans="1:3" ht="39.9" customHeight="1" x14ac:dyDescent="0.3"/>
    <row r="8" spans="1:3" ht="39.9" customHeight="1" x14ac:dyDescent="0.3"/>
    <row r="9" spans="1:3" ht="39.9" customHeight="1" x14ac:dyDescent="0.3"/>
    <row r="10" spans="1:3" ht="39.9" customHeight="1" x14ac:dyDescent="0.3"/>
    <row r="11" spans="1:3" ht="39.9" customHeight="1" x14ac:dyDescent="0.3"/>
    <row r="12" spans="1:3" ht="39.9" customHeight="1" x14ac:dyDescent="0.3"/>
    <row r="13" spans="1:3" ht="39.9" customHeight="1" x14ac:dyDescent="0.3"/>
    <row r="14" spans="1:3" ht="39.9" customHeight="1" x14ac:dyDescent="0.3"/>
    <row r="15" spans="1:3" ht="39.9" customHeight="1" x14ac:dyDescent="0.3"/>
    <row r="16" spans="1:3" ht="39.9" customHeight="1" x14ac:dyDescent="0.3"/>
    <row r="17" ht="39.9" customHeight="1" x14ac:dyDescent="0.3"/>
    <row r="18" ht="39.9" customHeight="1" x14ac:dyDescent="0.3"/>
    <row r="19" ht="39.9" customHeight="1" x14ac:dyDescent="0.3"/>
    <row r="20" ht="39.9" customHeight="1" x14ac:dyDescent="0.3"/>
    <row r="21" ht="39.9" customHeight="1" x14ac:dyDescent="0.3"/>
    <row r="22" ht="39.9" customHeight="1" x14ac:dyDescent="0.3"/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DD16-8C1D-4268-A511-03A8EA90B4AF}">
  <dimension ref="A1:E25"/>
  <sheetViews>
    <sheetView zoomScaleNormal="100" workbookViewId="0"/>
  </sheetViews>
  <sheetFormatPr baseColWidth="10" defaultColWidth="11.44140625" defaultRowHeight="14.4" x14ac:dyDescent="0.3"/>
  <cols>
    <col min="1" max="1" width="12.33203125" style="1" customWidth="1"/>
    <col min="2" max="2" width="100.6640625" style="1" customWidth="1"/>
    <col min="3" max="3" width="14.44140625" style="2" bestFit="1" customWidth="1"/>
    <col min="4" max="4" width="50.6640625" style="1" customWidth="1"/>
    <col min="5" max="5" width="131.109375" style="1" customWidth="1"/>
    <col min="6" max="16384" width="11.44140625" style="1"/>
  </cols>
  <sheetData>
    <row r="1" spans="1:5" s="23" customFormat="1" ht="21.75" customHeight="1" x14ac:dyDescent="0.3">
      <c r="A1" s="24" t="s">
        <v>0</v>
      </c>
      <c r="B1" s="24" t="s">
        <v>1</v>
      </c>
      <c r="C1" s="24" t="s">
        <v>2</v>
      </c>
      <c r="D1" s="25" t="s">
        <v>3</v>
      </c>
      <c r="E1" s="39"/>
    </row>
    <row r="2" spans="1:5" s="23" customFormat="1" ht="18" x14ac:dyDescent="0.3">
      <c r="A2" s="26"/>
      <c r="B2" s="26"/>
      <c r="C2" s="26">
        <f>SUM(C3,C5,C9,C11,C14,C17)</f>
        <v>37</v>
      </c>
      <c r="D2" s="27"/>
      <c r="E2" s="39"/>
    </row>
    <row r="3" spans="1:5" x14ac:dyDescent="0.3">
      <c r="A3" s="11" t="s">
        <v>106</v>
      </c>
      <c r="B3" s="11" t="s">
        <v>102</v>
      </c>
      <c r="C3" s="12">
        <f>SUM(C4:C4)</f>
        <v>5</v>
      </c>
      <c r="D3" s="11"/>
    </row>
    <row r="4" spans="1:5" x14ac:dyDescent="0.3">
      <c r="A4" s="1" t="s">
        <v>12</v>
      </c>
      <c r="B4" s="1" t="s">
        <v>104</v>
      </c>
      <c r="C4" s="2">
        <v>5</v>
      </c>
    </row>
    <row r="5" spans="1:5" x14ac:dyDescent="0.3">
      <c r="A5" s="11" t="s">
        <v>107</v>
      </c>
      <c r="B5" s="11" t="s">
        <v>56</v>
      </c>
      <c r="C5" s="12">
        <f>SUM(C6:C8)</f>
        <v>5</v>
      </c>
      <c r="D5" s="11"/>
    </row>
    <row r="6" spans="1:5" x14ac:dyDescent="0.3">
      <c r="A6" s="1" t="s">
        <v>14</v>
      </c>
      <c r="B6" s="1" t="s">
        <v>61</v>
      </c>
      <c r="C6" s="2">
        <v>2</v>
      </c>
    </row>
    <row r="7" spans="1:5" x14ac:dyDescent="0.3">
      <c r="A7" s="1" t="s">
        <v>15</v>
      </c>
      <c r="B7" s="1" t="s">
        <v>92</v>
      </c>
      <c r="C7" s="2">
        <v>1</v>
      </c>
    </row>
    <row r="8" spans="1:5" ht="15" customHeight="1" x14ac:dyDescent="0.3">
      <c r="A8" s="1" t="s">
        <v>59</v>
      </c>
      <c r="B8" s="1" t="s">
        <v>93</v>
      </c>
      <c r="C8" s="2">
        <v>2</v>
      </c>
    </row>
    <row r="9" spans="1:5" x14ac:dyDescent="0.3">
      <c r="A9" s="11" t="s">
        <v>109</v>
      </c>
      <c r="B9" s="11" t="s">
        <v>58</v>
      </c>
      <c r="C9" s="12">
        <f>SUM(C10:C10)</f>
        <v>5</v>
      </c>
      <c r="D9" s="11"/>
    </row>
    <row r="10" spans="1:5" x14ac:dyDescent="0.3">
      <c r="A10" s="1" t="s">
        <v>17</v>
      </c>
      <c r="B10" s="1" t="s">
        <v>63</v>
      </c>
      <c r="C10" s="2">
        <v>5</v>
      </c>
    </row>
    <row r="11" spans="1:5" x14ac:dyDescent="0.3">
      <c r="A11" s="11" t="s">
        <v>110</v>
      </c>
      <c r="B11" s="11" t="s">
        <v>94</v>
      </c>
      <c r="C11" s="12">
        <f>SUM(C12:C13)</f>
        <v>7</v>
      </c>
      <c r="D11" s="11"/>
    </row>
    <row r="12" spans="1:5" x14ac:dyDescent="0.3">
      <c r="A12" s="1" t="s">
        <v>18</v>
      </c>
      <c r="B12" s="1" t="s">
        <v>95</v>
      </c>
      <c r="C12" s="2">
        <v>2</v>
      </c>
    </row>
    <row r="13" spans="1:5" x14ac:dyDescent="0.3">
      <c r="A13" s="1" t="s">
        <v>19</v>
      </c>
      <c r="B13" s="1" t="s">
        <v>64</v>
      </c>
      <c r="C13" s="2">
        <v>5</v>
      </c>
    </row>
    <row r="14" spans="1:5" x14ac:dyDescent="0.3">
      <c r="A14" s="11" t="s">
        <v>111</v>
      </c>
      <c r="B14" s="11" t="s">
        <v>96</v>
      </c>
      <c r="C14" s="12">
        <f>SUM(C15:C16)</f>
        <v>5</v>
      </c>
      <c r="D14" s="11"/>
    </row>
    <row r="15" spans="1:5" x14ac:dyDescent="0.3">
      <c r="A15" s="1" t="s">
        <v>20</v>
      </c>
      <c r="B15" s="1" t="s">
        <v>97</v>
      </c>
      <c r="C15" s="2">
        <v>3</v>
      </c>
    </row>
    <row r="16" spans="1:5" x14ac:dyDescent="0.3">
      <c r="A16" s="1" t="s">
        <v>21</v>
      </c>
      <c r="B16" s="1" t="s">
        <v>65</v>
      </c>
      <c r="C16" s="2">
        <v>2</v>
      </c>
    </row>
    <row r="17" spans="1:4" x14ac:dyDescent="0.3">
      <c r="A17" s="11" t="s">
        <v>112</v>
      </c>
      <c r="B17" s="11" t="s">
        <v>100</v>
      </c>
      <c r="C17" s="12">
        <f>SUM(C18:C20)</f>
        <v>10</v>
      </c>
      <c r="D17" s="11"/>
    </row>
    <row r="18" spans="1:4" x14ac:dyDescent="0.3">
      <c r="A18" s="1" t="s">
        <v>113</v>
      </c>
      <c r="B18" s="1" t="s">
        <v>98</v>
      </c>
      <c r="C18" s="2">
        <v>3</v>
      </c>
    </row>
    <row r="19" spans="1:4" x14ac:dyDescent="0.3">
      <c r="A19" s="1" t="s">
        <v>114</v>
      </c>
      <c r="B19" s="1" t="s">
        <v>66</v>
      </c>
      <c r="C19" s="2">
        <v>2</v>
      </c>
    </row>
    <row r="20" spans="1:4" x14ac:dyDescent="0.3">
      <c r="A20" s="1" t="s">
        <v>115</v>
      </c>
      <c r="B20" s="1" t="s">
        <v>101</v>
      </c>
      <c r="C20" s="2">
        <v>5</v>
      </c>
    </row>
    <row r="25" spans="1:4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273D-65CE-4261-9DB0-AA924EF451C6}">
  <dimension ref="A2:AF39"/>
  <sheetViews>
    <sheetView zoomScaleNormal="100" workbookViewId="0"/>
  </sheetViews>
  <sheetFormatPr baseColWidth="10" defaultColWidth="11.44140625" defaultRowHeight="14.4" x14ac:dyDescent="0.3"/>
  <cols>
    <col min="1" max="1" width="12.33203125" style="1" customWidth="1"/>
    <col min="2" max="2" width="75.6640625" style="1" customWidth="1"/>
    <col min="3" max="3" width="14.44140625" style="2" bestFit="1" customWidth="1"/>
    <col min="4" max="4" width="14.6640625" style="1" customWidth="1"/>
    <col min="5" max="14" width="5.6640625" style="45" customWidth="1"/>
    <col min="15" max="55" width="5.6640625" style="1" customWidth="1"/>
    <col min="56" max="16384" width="11.44140625" style="1"/>
  </cols>
  <sheetData>
    <row r="2" spans="1:32" x14ac:dyDescent="0.3">
      <c r="A2" s="49"/>
      <c r="B2" s="49"/>
      <c r="C2" s="28"/>
      <c r="D2" s="28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32" ht="34.5" customHeight="1" x14ac:dyDescent="0.3">
      <c r="A3" s="50"/>
      <c r="B3" s="51"/>
      <c r="C3" s="28"/>
      <c r="D3" s="28"/>
      <c r="E3" s="41" t="str">
        <f>IF(E4=0," ",CHOOSE(WEEKDAY(E4,2),"L","M","X","J","V","S","D"))</f>
        <v>M</v>
      </c>
      <c r="F3" s="41" t="str">
        <f>IF(F4=0," ",CHOOSE(WEEKDAY(F4,2),"L","M","X","J","V","S","D"))</f>
        <v>X</v>
      </c>
      <c r="G3" s="41" t="str">
        <f>IF(G4=0," ",CHOOSE(WEEKDAY(G4,2),"L","M","X","J","V","S","D"))</f>
        <v>J</v>
      </c>
      <c r="H3" s="41" t="str">
        <f t="shared" ref="H3:AF3" si="0">IF(H4=0," ",CHOOSE(WEEKDAY(H4,2),"L","M","X","J","V","S","D"))</f>
        <v>V</v>
      </c>
      <c r="I3" s="41" t="str">
        <f t="shared" si="0"/>
        <v>S</v>
      </c>
      <c r="J3" s="41" t="str">
        <f t="shared" si="0"/>
        <v>D</v>
      </c>
      <c r="K3" s="41" t="str">
        <f t="shared" si="0"/>
        <v>L</v>
      </c>
      <c r="L3" s="41" t="str">
        <f t="shared" si="0"/>
        <v>M</v>
      </c>
      <c r="M3" s="41" t="str">
        <f t="shared" si="0"/>
        <v>X</v>
      </c>
      <c r="N3" s="41" t="str">
        <f t="shared" si="0"/>
        <v>J</v>
      </c>
      <c r="O3" s="41" t="str">
        <f t="shared" si="0"/>
        <v>V</v>
      </c>
      <c r="P3" s="41" t="str">
        <f t="shared" si="0"/>
        <v>S</v>
      </c>
      <c r="Q3" s="41" t="str">
        <f t="shared" si="0"/>
        <v>D</v>
      </c>
      <c r="R3" s="41" t="str">
        <f t="shared" si="0"/>
        <v>L</v>
      </c>
      <c r="S3" s="41" t="str">
        <f t="shared" si="0"/>
        <v>M</v>
      </c>
      <c r="T3" s="41" t="str">
        <f t="shared" si="0"/>
        <v>X</v>
      </c>
      <c r="U3" s="41" t="str">
        <f t="shared" si="0"/>
        <v>J</v>
      </c>
      <c r="V3" s="41" t="str">
        <f t="shared" si="0"/>
        <v>V</v>
      </c>
      <c r="W3" s="41" t="str">
        <f t="shared" si="0"/>
        <v>S</v>
      </c>
      <c r="X3" s="41" t="str">
        <f t="shared" si="0"/>
        <v>D</v>
      </c>
      <c r="Y3" s="41" t="str">
        <f t="shared" si="0"/>
        <v>L</v>
      </c>
      <c r="Z3" s="41" t="str">
        <f t="shared" si="0"/>
        <v>M</v>
      </c>
      <c r="AA3" s="41" t="str">
        <f t="shared" si="0"/>
        <v>X</v>
      </c>
      <c r="AB3" s="41" t="str">
        <f t="shared" si="0"/>
        <v>J</v>
      </c>
      <c r="AC3" s="41" t="str">
        <f t="shared" si="0"/>
        <v>V</v>
      </c>
      <c r="AD3" s="41" t="str">
        <f t="shared" si="0"/>
        <v>S</v>
      </c>
      <c r="AE3" s="41" t="str">
        <f t="shared" si="0"/>
        <v>D</v>
      </c>
      <c r="AF3" s="41" t="str">
        <f t="shared" si="0"/>
        <v>L</v>
      </c>
    </row>
    <row r="4" spans="1:32" ht="37.799999999999997" x14ac:dyDescent="0.3">
      <c r="A4" s="31"/>
      <c r="B4" s="31"/>
      <c r="C4" s="31"/>
      <c r="D4" s="31"/>
      <c r="E4" s="32">
        <v>45958</v>
      </c>
      <c r="F4" s="32">
        <v>45959</v>
      </c>
      <c r="G4" s="32">
        <v>45960</v>
      </c>
      <c r="H4" s="32">
        <v>45961</v>
      </c>
      <c r="I4" s="32">
        <v>45962</v>
      </c>
      <c r="J4" s="32">
        <v>45963</v>
      </c>
      <c r="K4" s="32">
        <v>45964</v>
      </c>
      <c r="L4" s="32">
        <v>45965</v>
      </c>
      <c r="M4" s="32">
        <v>45966</v>
      </c>
      <c r="N4" s="32">
        <v>45967</v>
      </c>
      <c r="O4" s="32">
        <v>45968</v>
      </c>
      <c r="P4" s="32">
        <v>45969</v>
      </c>
      <c r="Q4" s="32">
        <v>45970</v>
      </c>
      <c r="R4" s="32">
        <v>45971</v>
      </c>
      <c r="S4" s="32">
        <v>45972</v>
      </c>
      <c r="T4" s="32">
        <v>45973</v>
      </c>
      <c r="U4" s="32">
        <v>45974</v>
      </c>
      <c r="V4" s="32">
        <v>45975</v>
      </c>
      <c r="W4" s="32">
        <v>45976</v>
      </c>
      <c r="X4" s="32">
        <v>45977</v>
      </c>
      <c r="Y4" s="32">
        <v>45978</v>
      </c>
      <c r="Z4" s="32">
        <v>45979</v>
      </c>
      <c r="AA4" s="32">
        <v>45980</v>
      </c>
      <c r="AB4" s="32">
        <v>45981</v>
      </c>
      <c r="AC4" s="32">
        <v>45982</v>
      </c>
      <c r="AD4" s="32">
        <v>45983</v>
      </c>
      <c r="AE4" s="32">
        <v>45984</v>
      </c>
      <c r="AF4" s="32">
        <v>45985</v>
      </c>
    </row>
    <row r="5" spans="1:32" ht="14.4" customHeight="1" x14ac:dyDescent="0.3">
      <c r="A5" s="31"/>
      <c r="B5" s="31"/>
      <c r="C5" s="31"/>
      <c r="D5" s="31"/>
      <c r="E5" s="42" t="str">
        <f ca="1">IF(AND(D4&lt;TODAY(),TODAY()&lt;(E4+1),E4&lt;&gt;""),"ACTUAL","")</f>
        <v/>
      </c>
      <c r="F5" s="42" t="str">
        <f ca="1">IF(AND(E4&lt;TODAY(),TODAY()&lt;(F4+1),F4&lt;&gt;""),"ACTUAL","")</f>
        <v/>
      </c>
      <c r="G5" s="42" t="str">
        <f ca="1">IF(AND(F4&lt;TODAY(),TODAY()&lt;(G4+1),G4&lt;&gt;""),"ACTUAL","")</f>
        <v/>
      </c>
      <c r="H5" s="42" t="str">
        <f t="shared" ref="H5:AF5" ca="1" si="1">IF(AND(G4&lt;TODAY(),TODAY()&lt;(H4+1),H4&lt;&gt;""),"ACTUAL","")</f>
        <v/>
      </c>
      <c r="I5" s="42" t="str">
        <f t="shared" ca="1" si="1"/>
        <v/>
      </c>
      <c r="J5" s="42" t="str">
        <f t="shared" ca="1" si="1"/>
        <v/>
      </c>
      <c r="K5" s="42" t="str">
        <f t="shared" ca="1" si="1"/>
        <v/>
      </c>
      <c r="L5" s="42" t="str">
        <f t="shared" ca="1" si="1"/>
        <v/>
      </c>
      <c r="M5" s="42" t="str">
        <f t="shared" ca="1" si="1"/>
        <v/>
      </c>
      <c r="N5" s="42" t="str">
        <f t="shared" ca="1" si="1"/>
        <v/>
      </c>
      <c r="O5" s="42" t="str">
        <f t="shared" ca="1" si="1"/>
        <v/>
      </c>
      <c r="P5" s="42" t="str">
        <f t="shared" ca="1" si="1"/>
        <v/>
      </c>
      <c r="Q5" s="42" t="str">
        <f t="shared" ca="1" si="1"/>
        <v/>
      </c>
      <c r="R5" s="42" t="str">
        <f t="shared" ca="1" si="1"/>
        <v/>
      </c>
      <c r="S5" s="42" t="str">
        <f t="shared" ca="1" si="1"/>
        <v/>
      </c>
      <c r="T5" s="42" t="str">
        <f t="shared" ca="1" si="1"/>
        <v/>
      </c>
      <c r="U5" s="42" t="str">
        <f t="shared" ca="1" si="1"/>
        <v/>
      </c>
      <c r="V5" s="42" t="str">
        <f t="shared" ca="1" si="1"/>
        <v/>
      </c>
      <c r="W5" s="42" t="str">
        <f t="shared" ca="1" si="1"/>
        <v/>
      </c>
      <c r="X5" s="42" t="str">
        <f t="shared" ca="1" si="1"/>
        <v/>
      </c>
      <c r="Y5" s="42" t="str">
        <f t="shared" ca="1" si="1"/>
        <v/>
      </c>
      <c r="Z5" s="42" t="str">
        <f t="shared" ca="1" si="1"/>
        <v/>
      </c>
      <c r="AA5" s="42" t="str">
        <f t="shared" ca="1" si="1"/>
        <v/>
      </c>
      <c r="AB5" s="42" t="str">
        <f t="shared" ca="1" si="1"/>
        <v/>
      </c>
      <c r="AC5" s="42" t="str">
        <f t="shared" ca="1" si="1"/>
        <v/>
      </c>
      <c r="AD5" s="42" t="str">
        <f t="shared" ca="1" si="1"/>
        <v/>
      </c>
      <c r="AE5" s="42" t="str">
        <f t="shared" ca="1" si="1"/>
        <v/>
      </c>
      <c r="AF5" s="42" t="str">
        <f t="shared" ca="1" si="1"/>
        <v/>
      </c>
    </row>
    <row r="6" spans="1:32" ht="15" x14ac:dyDescent="0.3">
      <c r="A6" s="126" t="s">
        <v>31</v>
      </c>
      <c r="B6" s="127"/>
      <c r="C6" s="128"/>
      <c r="D6" s="35">
        <f>COUNTIF(D10:D895,"&gt;0")</f>
        <v>12</v>
      </c>
      <c r="E6" s="43">
        <f>COUNTIF(E10:E21,"&gt;0")</f>
        <v>12</v>
      </c>
      <c r="F6" s="43">
        <f>COUNTIF(F10:F21,"&gt;0")</f>
        <v>12</v>
      </c>
      <c r="G6" s="43">
        <f t="shared" ref="G6:AF6" si="2">COUNTIF(G10:G21,"&gt;0")</f>
        <v>12</v>
      </c>
      <c r="H6" s="43">
        <f t="shared" si="2"/>
        <v>11</v>
      </c>
      <c r="I6" s="43">
        <f t="shared" si="2"/>
        <v>10</v>
      </c>
      <c r="J6" s="43">
        <f t="shared" si="2"/>
        <v>10</v>
      </c>
      <c r="K6" s="43">
        <f t="shared" si="2"/>
        <v>10</v>
      </c>
      <c r="L6" s="43">
        <f t="shared" si="2"/>
        <v>10</v>
      </c>
      <c r="M6" s="43">
        <f t="shared" si="2"/>
        <v>10</v>
      </c>
      <c r="N6" s="43">
        <f t="shared" si="2"/>
        <v>10</v>
      </c>
      <c r="O6" s="43">
        <f t="shared" si="2"/>
        <v>9</v>
      </c>
      <c r="P6" s="43">
        <f t="shared" si="2"/>
        <v>7</v>
      </c>
      <c r="Q6" s="43">
        <f t="shared" si="2"/>
        <v>7</v>
      </c>
      <c r="R6" s="43">
        <f t="shared" si="2"/>
        <v>7</v>
      </c>
      <c r="S6" s="43">
        <f t="shared" si="2"/>
        <v>7</v>
      </c>
      <c r="T6" s="43">
        <f t="shared" si="2"/>
        <v>7</v>
      </c>
      <c r="U6" s="43">
        <f t="shared" si="2"/>
        <v>6</v>
      </c>
      <c r="V6" s="43">
        <f t="shared" si="2"/>
        <v>4</v>
      </c>
      <c r="W6" s="43">
        <f t="shared" si="2"/>
        <v>4</v>
      </c>
      <c r="X6" s="43">
        <f t="shared" si="2"/>
        <v>4</v>
      </c>
      <c r="Y6" s="43">
        <f t="shared" si="2"/>
        <v>3</v>
      </c>
      <c r="Z6" s="43">
        <f t="shared" si="2"/>
        <v>3</v>
      </c>
      <c r="AA6" s="43">
        <f t="shared" si="2"/>
        <v>3</v>
      </c>
      <c r="AB6" s="43">
        <f t="shared" si="2"/>
        <v>3</v>
      </c>
      <c r="AC6" s="43">
        <f t="shared" si="2"/>
        <v>3</v>
      </c>
      <c r="AD6" s="43">
        <f t="shared" si="2"/>
        <v>3</v>
      </c>
      <c r="AE6" s="43">
        <f t="shared" si="2"/>
        <v>3</v>
      </c>
      <c r="AF6" s="43">
        <f t="shared" si="2"/>
        <v>0</v>
      </c>
    </row>
    <row r="7" spans="1:32" ht="15.6" x14ac:dyDescent="0.3">
      <c r="A7" s="126" t="s">
        <v>32</v>
      </c>
      <c r="B7" s="127"/>
      <c r="C7" s="128"/>
      <c r="D7" s="37">
        <f>SUM(D9:D928)</f>
        <v>37</v>
      </c>
      <c r="E7" s="44">
        <f>IF(SUM(E10:E21)&gt;=0,SUM(E10:E21),#N/A)</f>
        <v>37</v>
      </c>
      <c r="F7" s="44">
        <f>IF(SUM(F10:F21)&gt;=0,SUM(F10:F21),#N/A)</f>
        <v>37</v>
      </c>
      <c r="G7" s="44">
        <f t="shared" ref="G7:AF7" si="3">IF(SUM(G10:G21)&gt;=0,SUM(G10:G21),#N/A)</f>
        <v>37</v>
      </c>
      <c r="H7" s="44">
        <f t="shared" si="3"/>
        <v>32</v>
      </c>
      <c r="I7" s="44">
        <f t="shared" si="3"/>
        <v>30</v>
      </c>
      <c r="J7" s="44">
        <f t="shared" si="3"/>
        <v>30</v>
      </c>
      <c r="K7" s="44">
        <f t="shared" si="3"/>
        <v>30</v>
      </c>
      <c r="L7" s="44">
        <f t="shared" si="3"/>
        <v>30</v>
      </c>
      <c r="M7" s="44">
        <f t="shared" si="3"/>
        <v>30</v>
      </c>
      <c r="N7" s="44">
        <f t="shared" si="3"/>
        <v>30</v>
      </c>
      <c r="O7" s="44">
        <f t="shared" si="3"/>
        <v>28</v>
      </c>
      <c r="P7" s="44">
        <f t="shared" si="3"/>
        <v>21</v>
      </c>
      <c r="Q7" s="44">
        <f t="shared" si="3"/>
        <v>21</v>
      </c>
      <c r="R7" s="44">
        <f t="shared" si="3"/>
        <v>18</v>
      </c>
      <c r="S7" s="44">
        <f t="shared" si="3"/>
        <v>18</v>
      </c>
      <c r="T7" s="44">
        <f t="shared" si="3"/>
        <v>18</v>
      </c>
      <c r="U7" s="44">
        <f t="shared" si="3"/>
        <v>14</v>
      </c>
      <c r="V7" s="44">
        <f t="shared" si="3"/>
        <v>11</v>
      </c>
      <c r="W7" s="44">
        <f t="shared" si="3"/>
        <v>11</v>
      </c>
      <c r="X7" s="44">
        <f t="shared" si="3"/>
        <v>11</v>
      </c>
      <c r="Y7" s="44">
        <f t="shared" si="3"/>
        <v>8</v>
      </c>
      <c r="Z7" s="44">
        <f t="shared" si="3"/>
        <v>8</v>
      </c>
      <c r="AA7" s="44">
        <f t="shared" si="3"/>
        <v>8</v>
      </c>
      <c r="AB7" s="44">
        <f t="shared" si="3"/>
        <v>8</v>
      </c>
      <c r="AC7" s="44">
        <f t="shared" si="3"/>
        <v>4.5</v>
      </c>
      <c r="AD7" s="44">
        <f t="shared" si="3"/>
        <v>4.5</v>
      </c>
      <c r="AE7" s="44">
        <f t="shared" si="3"/>
        <v>4.5</v>
      </c>
      <c r="AF7" s="44">
        <f t="shared" si="3"/>
        <v>0</v>
      </c>
    </row>
    <row r="9" spans="1:32" s="23" customFormat="1" ht="21" customHeight="1" x14ac:dyDescent="0.3">
      <c r="A9" s="93" t="s">
        <v>0</v>
      </c>
      <c r="B9" s="93" t="s">
        <v>1</v>
      </c>
      <c r="C9" s="93" t="s">
        <v>34</v>
      </c>
      <c r="D9" s="93" t="s">
        <v>2</v>
      </c>
      <c r="E9" s="129" t="s">
        <v>33</v>
      </c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 spans="1:32" x14ac:dyDescent="0.3">
      <c r="A10" s="87" t="str">
        <f>'Pila-Sprint2'!A4</f>
        <v>ID002_T1</v>
      </c>
      <c r="B10" s="69" t="str">
        <f>'Pila-Sprint2'!B4</f>
        <v>Tooltip interactivo con nombre y descripción del Pokémon/objeto/carta</v>
      </c>
      <c r="C10" s="69" t="s">
        <v>54</v>
      </c>
      <c r="D10" s="97">
        <f>'Pila-Sprint2'!C4</f>
        <v>5</v>
      </c>
      <c r="E10" s="69">
        <v>5</v>
      </c>
      <c r="F10" s="69">
        <v>5</v>
      </c>
      <c r="G10" s="69">
        <v>5</v>
      </c>
      <c r="H10" s="69">
        <v>2</v>
      </c>
      <c r="I10" s="69">
        <v>2</v>
      </c>
      <c r="J10" s="69">
        <v>2</v>
      </c>
      <c r="K10" s="69">
        <v>2</v>
      </c>
      <c r="L10" s="69">
        <v>2</v>
      </c>
      <c r="M10" s="69">
        <v>2</v>
      </c>
      <c r="N10" s="69">
        <v>2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</row>
    <row r="11" spans="1:32" x14ac:dyDescent="0.3">
      <c r="A11" s="87" t="str">
        <f>'Pila-Sprint2'!A6</f>
        <v>ID003_T1</v>
      </c>
      <c r="B11" s="69" t="str">
        <f>'Pila-Sprint2'!B6</f>
        <v>Las Poké Balls se pueden coger y lanzar</v>
      </c>
      <c r="C11" s="69" t="s">
        <v>53</v>
      </c>
      <c r="D11" s="69">
        <f>'Pila-Sprint2'!C6</f>
        <v>2</v>
      </c>
      <c r="E11" s="69">
        <v>2</v>
      </c>
      <c r="F11" s="69">
        <v>2</v>
      </c>
      <c r="G11" s="69">
        <v>2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</row>
    <row r="12" spans="1:32" x14ac:dyDescent="0.3">
      <c r="A12" s="87" t="str">
        <f>'Pila-Sprint2'!A7</f>
        <v>ID003_T2</v>
      </c>
      <c r="B12" s="69" t="str">
        <f>'Pila-Sprint2'!B7</f>
        <v>Las Poké Balls emiten sonido al colisionar con una superficie</v>
      </c>
      <c r="C12" s="69" t="s">
        <v>53</v>
      </c>
      <c r="D12" s="69">
        <f>'Pila-Sprint2'!C7</f>
        <v>1</v>
      </c>
      <c r="E12" s="69">
        <v>1</v>
      </c>
      <c r="F12" s="69">
        <v>1</v>
      </c>
      <c r="G12" s="69">
        <v>1</v>
      </c>
      <c r="H12" s="69">
        <v>1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</row>
    <row r="13" spans="1:32" ht="15" customHeight="1" x14ac:dyDescent="0.3">
      <c r="A13" s="87" t="str">
        <f>'Pila-Sprint2'!A8</f>
        <v>ID003_T3</v>
      </c>
      <c r="B13" s="69" t="str">
        <f>'Pila-Sprint2'!B8</f>
        <v>Se reproduce una animación de "apertura" al colisionar con una superficie</v>
      </c>
      <c r="C13" s="69" t="s">
        <v>53</v>
      </c>
      <c r="D13" s="69">
        <f>'Pila-Sprint2'!C8</f>
        <v>2</v>
      </c>
      <c r="E13" s="69">
        <v>2</v>
      </c>
      <c r="F13" s="69">
        <v>2</v>
      </c>
      <c r="G13" s="69">
        <v>2</v>
      </c>
      <c r="H13" s="69">
        <v>2</v>
      </c>
      <c r="I13" s="69">
        <v>1</v>
      </c>
      <c r="J13" s="69">
        <v>1</v>
      </c>
      <c r="K13" s="69">
        <v>1</v>
      </c>
      <c r="L13" s="69">
        <v>1</v>
      </c>
      <c r="M13" s="69">
        <v>1</v>
      </c>
      <c r="N13" s="69">
        <v>1</v>
      </c>
      <c r="O13" s="69">
        <v>1</v>
      </c>
      <c r="P13" s="69">
        <v>1</v>
      </c>
      <c r="Q13" s="69">
        <v>1</v>
      </c>
      <c r="R13" s="69">
        <v>1</v>
      </c>
      <c r="S13" s="69">
        <v>1</v>
      </c>
      <c r="T13" s="69">
        <v>1</v>
      </c>
      <c r="U13" s="69">
        <v>1</v>
      </c>
      <c r="V13" s="69">
        <v>1</v>
      </c>
      <c r="W13" s="69">
        <v>1</v>
      </c>
      <c r="X13" s="69">
        <v>1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>
        <v>0</v>
      </c>
    </row>
    <row r="14" spans="1:32" x14ac:dyDescent="0.3">
      <c r="A14" s="87" t="str">
        <f>'Pila-Sprint2'!A10</f>
        <v>ID005_T1</v>
      </c>
      <c r="B14" s="69" t="str">
        <f>'Pila-Sprint2'!B10</f>
        <v>Galería con línea de tiempo de la historia de Pokémon</v>
      </c>
      <c r="C14" s="69" t="s">
        <v>52</v>
      </c>
      <c r="D14" s="69">
        <f>'Pila-Sprint2'!C10</f>
        <v>5</v>
      </c>
      <c r="E14" s="69">
        <v>5</v>
      </c>
      <c r="F14" s="69">
        <v>5</v>
      </c>
      <c r="G14" s="69">
        <v>5</v>
      </c>
      <c r="H14" s="69">
        <v>5</v>
      </c>
      <c r="I14" s="69">
        <v>5</v>
      </c>
      <c r="J14" s="69">
        <v>5</v>
      </c>
      <c r="K14" s="69">
        <v>5</v>
      </c>
      <c r="L14" s="69">
        <v>5</v>
      </c>
      <c r="M14" s="69">
        <v>5</v>
      </c>
      <c r="N14" s="69">
        <v>5</v>
      </c>
      <c r="O14" s="69">
        <v>5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  <c r="AC14" s="69">
        <v>0</v>
      </c>
      <c r="AD14" s="69">
        <v>0</v>
      </c>
      <c r="AE14" s="69">
        <v>0</v>
      </c>
      <c r="AF14" s="69">
        <v>0</v>
      </c>
    </row>
    <row r="15" spans="1:32" x14ac:dyDescent="0.3">
      <c r="A15" s="87" t="str">
        <f>'Pila-Sprint2'!A12</f>
        <v>ID006_T1</v>
      </c>
      <c r="B15" s="69" t="str">
        <f>'Pila-Sprint2'!B12</f>
        <v>Botón ubicado en zona estratégica</v>
      </c>
      <c r="C15" s="69" t="s">
        <v>52</v>
      </c>
      <c r="D15" s="69">
        <f>'Pila-Sprint2'!C12</f>
        <v>2</v>
      </c>
      <c r="E15" s="69">
        <v>2</v>
      </c>
      <c r="F15" s="69">
        <v>2</v>
      </c>
      <c r="G15" s="69">
        <v>2</v>
      </c>
      <c r="H15" s="69">
        <v>2</v>
      </c>
      <c r="I15" s="69">
        <v>2</v>
      </c>
      <c r="J15" s="69">
        <v>2</v>
      </c>
      <c r="K15" s="69">
        <v>2</v>
      </c>
      <c r="L15" s="69">
        <v>2</v>
      </c>
      <c r="M15" s="69">
        <v>2</v>
      </c>
      <c r="N15" s="69">
        <v>2</v>
      </c>
      <c r="O15" s="69">
        <v>2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</row>
    <row r="16" spans="1:32" x14ac:dyDescent="0.3">
      <c r="A16" s="87" t="str">
        <f>'Pila-Sprint2'!A13</f>
        <v>ID006_T2</v>
      </c>
      <c r="B16" s="69" t="str">
        <f>'Pila-Sprint2'!B13</f>
        <v>Funcionalidad Play/Pause y control de volumen</v>
      </c>
      <c r="C16" s="69" t="s">
        <v>53</v>
      </c>
      <c r="D16" s="69">
        <f>'Pila-Sprint2'!C13</f>
        <v>5</v>
      </c>
      <c r="E16" s="69">
        <v>5</v>
      </c>
      <c r="F16" s="69">
        <v>5</v>
      </c>
      <c r="G16" s="69">
        <v>5</v>
      </c>
      <c r="H16" s="69">
        <v>5</v>
      </c>
      <c r="I16" s="69">
        <v>5</v>
      </c>
      <c r="J16" s="69">
        <v>5</v>
      </c>
      <c r="K16" s="69">
        <v>5</v>
      </c>
      <c r="L16" s="69">
        <v>5</v>
      </c>
      <c r="M16" s="69">
        <v>5</v>
      </c>
      <c r="N16" s="69">
        <v>5</v>
      </c>
      <c r="O16" s="69">
        <v>5</v>
      </c>
      <c r="P16" s="69">
        <v>5</v>
      </c>
      <c r="Q16" s="69">
        <v>5</v>
      </c>
      <c r="R16" s="69">
        <v>4</v>
      </c>
      <c r="S16" s="69">
        <v>4</v>
      </c>
      <c r="T16" s="69">
        <v>4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69">
        <v>0</v>
      </c>
      <c r="AE16" s="69">
        <v>0</v>
      </c>
      <c r="AF16" s="69">
        <v>0</v>
      </c>
    </row>
    <row r="17" spans="1:32" x14ac:dyDescent="0.3">
      <c r="A17" s="87" t="str">
        <f>'Pila-Sprint2'!A15</f>
        <v>ID007_T1</v>
      </c>
      <c r="B17" s="69" t="str">
        <f>'Pila-Sprint2'!B15</f>
        <v>Luces se encienden al acercarse a estatuas</v>
      </c>
      <c r="C17" s="69" t="s">
        <v>54</v>
      </c>
      <c r="D17" s="69">
        <f>'Pila-Sprint2'!C15</f>
        <v>3</v>
      </c>
      <c r="E17" s="69">
        <v>3</v>
      </c>
      <c r="F17" s="69">
        <v>3</v>
      </c>
      <c r="G17" s="69">
        <v>3</v>
      </c>
      <c r="H17" s="69">
        <v>3</v>
      </c>
      <c r="I17" s="69">
        <v>3</v>
      </c>
      <c r="J17" s="69">
        <v>3</v>
      </c>
      <c r="K17" s="69">
        <v>3</v>
      </c>
      <c r="L17" s="69">
        <v>3</v>
      </c>
      <c r="M17" s="69">
        <v>3</v>
      </c>
      <c r="N17" s="69">
        <v>3</v>
      </c>
      <c r="O17" s="69">
        <v>3</v>
      </c>
      <c r="P17" s="69">
        <v>3</v>
      </c>
      <c r="Q17" s="69">
        <v>3</v>
      </c>
      <c r="R17" s="69">
        <v>1</v>
      </c>
      <c r="S17" s="69">
        <v>1</v>
      </c>
      <c r="T17" s="69">
        <v>1</v>
      </c>
      <c r="U17" s="69">
        <v>1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0</v>
      </c>
      <c r="AF17" s="69">
        <v>0</v>
      </c>
    </row>
    <row r="18" spans="1:32" x14ac:dyDescent="0.3">
      <c r="A18" s="87" t="str">
        <f>'Pila-Sprint2'!A16</f>
        <v>ID007_T2</v>
      </c>
      <c r="B18" s="69" t="str">
        <f>'Pila-Sprint2'!B16</f>
        <v>Efecto de atenuación (fade-in/fade-out)</v>
      </c>
      <c r="C18" s="69" t="s">
        <v>54</v>
      </c>
      <c r="D18" s="69">
        <f>'Pila-Sprint2'!C16</f>
        <v>2</v>
      </c>
      <c r="E18" s="69">
        <v>2</v>
      </c>
      <c r="F18" s="69">
        <v>2</v>
      </c>
      <c r="G18" s="69">
        <v>2</v>
      </c>
      <c r="H18" s="69">
        <v>2</v>
      </c>
      <c r="I18" s="69">
        <v>2</v>
      </c>
      <c r="J18" s="69">
        <v>2</v>
      </c>
      <c r="K18" s="69">
        <v>2</v>
      </c>
      <c r="L18" s="69">
        <v>2</v>
      </c>
      <c r="M18" s="69">
        <v>2</v>
      </c>
      <c r="N18" s="69">
        <v>2</v>
      </c>
      <c r="O18" s="69">
        <v>2</v>
      </c>
      <c r="P18" s="69">
        <v>2</v>
      </c>
      <c r="Q18" s="69">
        <v>2</v>
      </c>
      <c r="R18" s="69">
        <v>2</v>
      </c>
      <c r="S18" s="69">
        <v>2</v>
      </c>
      <c r="T18" s="69">
        <v>2</v>
      </c>
      <c r="U18" s="69">
        <v>2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0</v>
      </c>
      <c r="AF18" s="69">
        <v>0</v>
      </c>
    </row>
    <row r="19" spans="1:32" x14ac:dyDescent="0.3">
      <c r="A19" s="87" t="str">
        <f>'Pila-Sprint2'!A18</f>
        <v>ID008_T1</v>
      </c>
      <c r="B19" s="69" t="str">
        <f>'Pila-Sprint2'!B18</f>
        <v>Sistema de preguntas basado en siluetas de Pokémon</v>
      </c>
      <c r="C19" s="69" t="s">
        <v>54</v>
      </c>
      <c r="D19" s="69">
        <f>'Pila-Sprint2'!C18</f>
        <v>3</v>
      </c>
      <c r="E19" s="69">
        <v>3</v>
      </c>
      <c r="F19" s="69">
        <v>3</v>
      </c>
      <c r="G19" s="69">
        <v>3</v>
      </c>
      <c r="H19" s="69">
        <v>3</v>
      </c>
      <c r="I19" s="69">
        <v>3</v>
      </c>
      <c r="J19" s="69">
        <v>3</v>
      </c>
      <c r="K19" s="69">
        <v>3</v>
      </c>
      <c r="L19" s="69">
        <v>3</v>
      </c>
      <c r="M19" s="69">
        <v>3</v>
      </c>
      <c r="N19" s="69">
        <v>3</v>
      </c>
      <c r="O19" s="69">
        <v>3</v>
      </c>
      <c r="P19" s="69">
        <v>3</v>
      </c>
      <c r="Q19" s="69">
        <v>3</v>
      </c>
      <c r="R19" s="69">
        <v>3</v>
      </c>
      <c r="S19" s="69">
        <v>3</v>
      </c>
      <c r="T19" s="69">
        <v>3</v>
      </c>
      <c r="U19" s="69">
        <v>3</v>
      </c>
      <c r="V19" s="69">
        <v>3</v>
      </c>
      <c r="W19" s="69">
        <v>3</v>
      </c>
      <c r="X19" s="69">
        <v>3</v>
      </c>
      <c r="Y19" s="69">
        <v>2</v>
      </c>
      <c r="Z19" s="69">
        <v>2</v>
      </c>
      <c r="AA19" s="69">
        <v>2</v>
      </c>
      <c r="AB19" s="69">
        <v>2</v>
      </c>
      <c r="AC19" s="69">
        <v>1</v>
      </c>
      <c r="AD19" s="69">
        <v>1</v>
      </c>
      <c r="AE19" s="69">
        <v>1</v>
      </c>
      <c r="AF19" s="69">
        <v>0</v>
      </c>
    </row>
    <row r="20" spans="1:32" x14ac:dyDescent="0.3">
      <c r="A20" s="87" t="str">
        <f>'Pila-Sprint2'!A19</f>
        <v>ID008_T2</v>
      </c>
      <c r="B20" s="69" t="str">
        <f>'Pila-Sprint2'!B19</f>
        <v>Sistema de localización/internacionalización</v>
      </c>
      <c r="C20" s="69" t="s">
        <v>54</v>
      </c>
      <c r="D20" s="69">
        <f>'Pila-Sprint2'!C19</f>
        <v>2</v>
      </c>
      <c r="E20" s="69">
        <v>2</v>
      </c>
      <c r="F20" s="69">
        <v>2</v>
      </c>
      <c r="G20" s="69">
        <v>2</v>
      </c>
      <c r="H20" s="69">
        <v>2</v>
      </c>
      <c r="I20" s="69">
        <v>2</v>
      </c>
      <c r="J20" s="69">
        <v>2</v>
      </c>
      <c r="K20" s="69">
        <v>2</v>
      </c>
      <c r="L20" s="69">
        <v>2</v>
      </c>
      <c r="M20" s="69">
        <v>2</v>
      </c>
      <c r="N20" s="69">
        <v>2</v>
      </c>
      <c r="O20" s="69">
        <v>2</v>
      </c>
      <c r="P20" s="69">
        <v>2</v>
      </c>
      <c r="Q20" s="69">
        <v>2</v>
      </c>
      <c r="R20" s="69">
        <v>2</v>
      </c>
      <c r="S20" s="69">
        <v>2</v>
      </c>
      <c r="T20" s="69">
        <v>2</v>
      </c>
      <c r="U20" s="69">
        <v>2</v>
      </c>
      <c r="V20" s="69">
        <v>2</v>
      </c>
      <c r="W20" s="69">
        <v>2</v>
      </c>
      <c r="X20" s="69">
        <v>2</v>
      </c>
      <c r="Y20" s="69">
        <v>2</v>
      </c>
      <c r="Z20" s="69">
        <v>2</v>
      </c>
      <c r="AA20" s="69">
        <v>2</v>
      </c>
      <c r="AB20" s="69">
        <v>2</v>
      </c>
      <c r="AC20" s="69">
        <v>0.5</v>
      </c>
      <c r="AD20" s="69">
        <v>0.5</v>
      </c>
      <c r="AE20" s="69">
        <v>0.5</v>
      </c>
      <c r="AF20" s="69">
        <v>0</v>
      </c>
    </row>
    <row r="21" spans="1:32" x14ac:dyDescent="0.3">
      <c r="A21" s="87" t="str">
        <f>'Pila-Sprint2'!A20</f>
        <v>ID008_T3</v>
      </c>
      <c r="B21" s="69" t="str">
        <f>'Pila-Sprint2'!B20</f>
        <v>Feedback visual</v>
      </c>
      <c r="C21" s="69" t="s">
        <v>54</v>
      </c>
      <c r="D21" s="69">
        <f>'Pila-Sprint2'!C20</f>
        <v>5</v>
      </c>
      <c r="E21" s="69">
        <v>5</v>
      </c>
      <c r="F21" s="69">
        <v>5</v>
      </c>
      <c r="G21" s="69">
        <v>5</v>
      </c>
      <c r="H21" s="69">
        <v>5</v>
      </c>
      <c r="I21" s="69">
        <v>5</v>
      </c>
      <c r="J21" s="69">
        <v>5</v>
      </c>
      <c r="K21" s="69">
        <v>5</v>
      </c>
      <c r="L21" s="69">
        <v>5</v>
      </c>
      <c r="M21" s="69">
        <v>5</v>
      </c>
      <c r="N21" s="69">
        <v>5</v>
      </c>
      <c r="O21" s="69">
        <v>5</v>
      </c>
      <c r="P21" s="69">
        <v>5</v>
      </c>
      <c r="Q21" s="69">
        <v>5</v>
      </c>
      <c r="R21" s="69">
        <v>5</v>
      </c>
      <c r="S21" s="69">
        <v>5</v>
      </c>
      <c r="T21" s="69">
        <v>5</v>
      </c>
      <c r="U21" s="69">
        <v>5</v>
      </c>
      <c r="V21" s="69">
        <v>5</v>
      </c>
      <c r="W21" s="69">
        <v>5</v>
      </c>
      <c r="X21" s="69">
        <v>5</v>
      </c>
      <c r="Y21" s="69">
        <v>4</v>
      </c>
      <c r="Z21" s="69">
        <v>4</v>
      </c>
      <c r="AA21" s="69">
        <v>4</v>
      </c>
      <c r="AB21" s="69">
        <v>4</v>
      </c>
      <c r="AC21" s="69">
        <v>3</v>
      </c>
      <c r="AD21" s="69">
        <v>3</v>
      </c>
      <c r="AE21" s="69">
        <v>3</v>
      </c>
      <c r="AF21" s="69">
        <v>0</v>
      </c>
    </row>
    <row r="22" spans="1:32" x14ac:dyDescent="0.3"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32" x14ac:dyDescent="0.3"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32" x14ac:dyDescent="0.3"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32" x14ac:dyDescent="0.3"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32" x14ac:dyDescent="0.3"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32" x14ac:dyDescent="0.3"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32" x14ac:dyDescent="0.3"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32" x14ac:dyDescent="0.3"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32" x14ac:dyDescent="0.3"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32" x14ac:dyDescent="0.3"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32" x14ac:dyDescent="0.3"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4:14" x14ac:dyDescent="0.3"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4:14" x14ac:dyDescent="0.3"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4:14" x14ac:dyDescent="0.3"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4:14" x14ac:dyDescent="0.3"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4:14" x14ac:dyDescent="0.3"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4:14" x14ac:dyDescent="0.3"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4:14" x14ac:dyDescent="0.3"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mergeCells count="3">
    <mergeCell ref="A6:C6"/>
    <mergeCell ref="A7:C7"/>
    <mergeCell ref="E9:AF9"/>
  </mergeCells>
  <conditionalFormatting sqref="E3:AF3">
    <cfRule type="cellIs" dxfId="3" priority="1" stopIfTrue="1" operator="equal">
      <formula>"S"</formula>
    </cfRule>
    <cfRule type="cellIs" dxfId="2" priority="2" stopIfTrue="1" operator="equal">
      <formula>"D"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3AE5-5EA2-4227-995B-E8CE0FADC8CC}">
  <dimension ref="A2:BC54"/>
  <sheetViews>
    <sheetView zoomScaleNormal="100" workbookViewId="0"/>
  </sheetViews>
  <sheetFormatPr baseColWidth="10" defaultColWidth="11.44140625" defaultRowHeight="14.4" x14ac:dyDescent="0.3"/>
  <cols>
    <col min="1" max="1" width="12.33203125" style="1" customWidth="1"/>
    <col min="2" max="2" width="75.6640625" style="1" customWidth="1"/>
    <col min="3" max="3" width="14.44140625" style="2" bestFit="1" customWidth="1"/>
    <col min="4" max="4" width="14.6640625" style="1" customWidth="1"/>
    <col min="5" max="55" width="5.6640625" style="1" customWidth="1"/>
    <col min="56" max="57" width="11.44140625" style="1"/>
    <col min="58" max="58" width="5.6640625" style="1" customWidth="1"/>
    <col min="59" max="16384" width="11.44140625" style="1"/>
  </cols>
  <sheetData>
    <row r="2" spans="1:55" x14ac:dyDescent="0.3">
      <c r="A2" s="49"/>
      <c r="B2" s="49"/>
      <c r="C2" s="28"/>
      <c r="D2" s="28"/>
      <c r="E2" s="28"/>
      <c r="F2" s="29"/>
      <c r="G2" s="28"/>
      <c r="H2" s="28"/>
      <c r="I2" s="28"/>
      <c r="J2" s="28"/>
      <c r="K2" s="28"/>
      <c r="L2" s="28"/>
      <c r="M2" s="28"/>
      <c r="N2" s="28"/>
    </row>
    <row r="3" spans="1:55" x14ac:dyDescent="0.3">
      <c r="A3" s="50"/>
      <c r="B3" s="51"/>
      <c r="C3" s="28"/>
      <c r="D3" s="28"/>
      <c r="E3" s="30" t="str">
        <f>IF(E4=0," ",CHOOSE(WEEKDAY(E4,2),"L","M","X","J","V","S","D"))</f>
        <v>M</v>
      </c>
      <c r="F3" s="30" t="str">
        <f>IF(F4=0," ",CHOOSE(WEEKDAY(F4,2),"L","M","X","J","V","S","D"))</f>
        <v>X</v>
      </c>
      <c r="G3" s="30" t="str">
        <f>IF(G4=0," ",CHOOSE(WEEKDAY(G4,2),"L","M","X","J","V","S","D"))</f>
        <v>J</v>
      </c>
      <c r="H3" s="30" t="str">
        <f t="shared" ref="H3:AF3" si="0">IF(H4=0," ",CHOOSE(WEEKDAY(H4,2),"L","M","X","J","V","S","D"))</f>
        <v>V</v>
      </c>
      <c r="I3" s="30" t="str">
        <f t="shared" si="0"/>
        <v>S</v>
      </c>
      <c r="J3" s="30" t="str">
        <f t="shared" si="0"/>
        <v>D</v>
      </c>
      <c r="K3" s="30" t="str">
        <f t="shared" si="0"/>
        <v>L</v>
      </c>
      <c r="L3" s="30" t="str">
        <f t="shared" si="0"/>
        <v>M</v>
      </c>
      <c r="M3" s="30" t="str">
        <f t="shared" si="0"/>
        <v>X</v>
      </c>
      <c r="N3" s="30" t="str">
        <f t="shared" si="0"/>
        <v>J</v>
      </c>
      <c r="O3" s="30" t="str">
        <f t="shared" si="0"/>
        <v>V</v>
      </c>
      <c r="P3" s="30" t="str">
        <f t="shared" si="0"/>
        <v>S</v>
      </c>
      <c r="Q3" s="30" t="str">
        <f t="shared" si="0"/>
        <v>D</v>
      </c>
      <c r="R3" s="30" t="str">
        <f t="shared" si="0"/>
        <v>L</v>
      </c>
      <c r="S3" s="30" t="str">
        <f t="shared" si="0"/>
        <v>M</v>
      </c>
      <c r="T3" s="30" t="str">
        <f t="shared" si="0"/>
        <v>X</v>
      </c>
      <c r="U3" s="30" t="str">
        <f t="shared" si="0"/>
        <v>J</v>
      </c>
      <c r="V3" s="30" t="str">
        <f t="shared" si="0"/>
        <v>V</v>
      </c>
      <c r="W3" s="30" t="str">
        <f t="shared" si="0"/>
        <v>S</v>
      </c>
      <c r="X3" s="30" t="str">
        <f t="shared" si="0"/>
        <v>D</v>
      </c>
      <c r="Y3" s="30" t="str">
        <f t="shared" si="0"/>
        <v>L</v>
      </c>
      <c r="Z3" s="30" t="str">
        <f t="shared" si="0"/>
        <v>M</v>
      </c>
      <c r="AA3" s="30" t="str">
        <f t="shared" si="0"/>
        <v>X</v>
      </c>
      <c r="AB3" s="30" t="str">
        <f t="shared" si="0"/>
        <v>J</v>
      </c>
      <c r="AC3" s="30" t="str">
        <f t="shared" si="0"/>
        <v>V</v>
      </c>
      <c r="AD3" s="30" t="str">
        <f t="shared" si="0"/>
        <v>S</v>
      </c>
      <c r="AE3" s="30" t="str">
        <f t="shared" si="0"/>
        <v>D</v>
      </c>
      <c r="AF3" s="30" t="str">
        <f t="shared" si="0"/>
        <v>L</v>
      </c>
    </row>
    <row r="4" spans="1:55" ht="37.799999999999997" x14ac:dyDescent="0.3">
      <c r="A4" s="31"/>
      <c r="B4" s="31"/>
      <c r="C4" s="31"/>
      <c r="D4" s="31"/>
      <c r="E4" s="32">
        <v>45958</v>
      </c>
      <c r="F4" s="32">
        <v>45959</v>
      </c>
      <c r="G4" s="32">
        <v>45960</v>
      </c>
      <c r="H4" s="32">
        <v>45961</v>
      </c>
      <c r="I4" s="32">
        <v>45962</v>
      </c>
      <c r="J4" s="32">
        <v>45963</v>
      </c>
      <c r="K4" s="32">
        <v>45964</v>
      </c>
      <c r="L4" s="32">
        <v>45965</v>
      </c>
      <c r="M4" s="32">
        <v>45966</v>
      </c>
      <c r="N4" s="32">
        <v>45967</v>
      </c>
      <c r="O4" s="32">
        <v>45968</v>
      </c>
      <c r="P4" s="32">
        <v>45969</v>
      </c>
      <c r="Q4" s="32">
        <v>45970</v>
      </c>
      <c r="R4" s="32">
        <v>45971</v>
      </c>
      <c r="S4" s="32">
        <v>45972</v>
      </c>
      <c r="T4" s="32">
        <v>45973</v>
      </c>
      <c r="U4" s="32">
        <v>45974</v>
      </c>
      <c r="V4" s="32">
        <v>45975</v>
      </c>
      <c r="W4" s="32">
        <v>45976</v>
      </c>
      <c r="X4" s="32">
        <v>45977</v>
      </c>
      <c r="Y4" s="32">
        <v>45978</v>
      </c>
      <c r="Z4" s="32">
        <v>45979</v>
      </c>
      <c r="AA4" s="32">
        <v>45980</v>
      </c>
      <c r="AB4" s="32">
        <v>45981</v>
      </c>
      <c r="AC4" s="32">
        <v>45982</v>
      </c>
      <c r="AD4" s="32">
        <v>45983</v>
      </c>
      <c r="AE4" s="32">
        <v>45984</v>
      </c>
      <c r="AF4" s="32">
        <v>45985</v>
      </c>
    </row>
    <row r="5" spans="1:55" ht="14.4" customHeight="1" x14ac:dyDescent="0.3">
      <c r="A5" s="31"/>
      <c r="B5" s="31"/>
      <c r="C5" s="31"/>
      <c r="D5" s="31"/>
      <c r="E5" s="33" t="str">
        <f ca="1">IF(AND(D4&lt;TODAY(),TODAY()&lt;(E4+1),E4&lt;&gt;""),"ACTUAL","")</f>
        <v/>
      </c>
      <c r="F5" s="33" t="str">
        <f ca="1">IF(AND(E4&lt;TODAY(),TODAY()&lt;(F4+1),F4&lt;&gt;""),"ACTUAL","")</f>
        <v/>
      </c>
      <c r="G5" s="33" t="str">
        <f ca="1">IF(AND(F4&lt;TODAY(),TODAY()&lt;(G4+1),G4&lt;&gt;""),"ACTUAL","")</f>
        <v/>
      </c>
      <c r="H5" s="33" t="str">
        <f t="shared" ref="H5:AF5" ca="1" si="1">IF(AND(G4&lt;TODAY(),TODAY()&lt;(H4+1),H4&lt;&gt;""),"ACTUAL","")</f>
        <v/>
      </c>
      <c r="I5" s="33" t="str">
        <f t="shared" ca="1" si="1"/>
        <v/>
      </c>
      <c r="J5" s="33" t="str">
        <f t="shared" ca="1" si="1"/>
        <v/>
      </c>
      <c r="K5" s="33" t="str">
        <f t="shared" ca="1" si="1"/>
        <v/>
      </c>
      <c r="L5" s="33" t="str">
        <f t="shared" ca="1" si="1"/>
        <v/>
      </c>
      <c r="M5" s="33" t="str">
        <f t="shared" ca="1" si="1"/>
        <v/>
      </c>
      <c r="N5" s="33" t="str">
        <f t="shared" ca="1" si="1"/>
        <v/>
      </c>
      <c r="O5" s="33" t="str">
        <f t="shared" ca="1" si="1"/>
        <v/>
      </c>
      <c r="P5" s="33" t="str">
        <f t="shared" ca="1" si="1"/>
        <v/>
      </c>
      <c r="Q5" s="33" t="str">
        <f t="shared" ca="1" si="1"/>
        <v/>
      </c>
      <c r="R5" s="33" t="str">
        <f t="shared" ca="1" si="1"/>
        <v/>
      </c>
      <c r="S5" s="33" t="str">
        <f t="shared" ca="1" si="1"/>
        <v/>
      </c>
      <c r="T5" s="33" t="str">
        <f t="shared" ca="1" si="1"/>
        <v/>
      </c>
      <c r="U5" s="33" t="str">
        <f t="shared" ca="1" si="1"/>
        <v/>
      </c>
      <c r="V5" s="33" t="str">
        <f t="shared" ca="1" si="1"/>
        <v/>
      </c>
      <c r="W5" s="33" t="str">
        <f t="shared" ca="1" si="1"/>
        <v/>
      </c>
      <c r="X5" s="33" t="str">
        <f t="shared" ca="1" si="1"/>
        <v/>
      </c>
      <c r="Y5" s="33" t="str">
        <f t="shared" ca="1" si="1"/>
        <v/>
      </c>
      <c r="Z5" s="33" t="str">
        <f t="shared" ca="1" si="1"/>
        <v/>
      </c>
      <c r="AA5" s="33" t="str">
        <f t="shared" ca="1" si="1"/>
        <v/>
      </c>
      <c r="AB5" s="33" t="str">
        <f t="shared" ca="1" si="1"/>
        <v/>
      </c>
      <c r="AC5" s="33" t="str">
        <f t="shared" ca="1" si="1"/>
        <v/>
      </c>
      <c r="AD5" s="33" t="str">
        <f t="shared" ca="1" si="1"/>
        <v/>
      </c>
      <c r="AE5" s="33" t="str">
        <f t="shared" ca="1" si="1"/>
        <v/>
      </c>
      <c r="AF5" s="33" t="str">
        <f t="shared" ca="1" si="1"/>
        <v/>
      </c>
    </row>
    <row r="6" spans="1:55" ht="15" x14ac:dyDescent="0.3">
      <c r="A6" s="126" t="s">
        <v>39</v>
      </c>
      <c r="B6" s="127"/>
      <c r="C6" s="128"/>
      <c r="D6" s="35"/>
      <c r="E6" s="36">
        <f>SUM($E$10:E21)</f>
        <v>0</v>
      </c>
      <c r="F6" s="36">
        <f>SUM($E$7:F7)</f>
        <v>0</v>
      </c>
      <c r="G6" s="36">
        <f>SUM($E$7:G7)</f>
        <v>0</v>
      </c>
      <c r="H6" s="36">
        <f>SUM($E$7:H7)</f>
        <v>4</v>
      </c>
      <c r="I6" s="36">
        <f>SUM($E$7:I7)</f>
        <v>6</v>
      </c>
      <c r="J6" s="36">
        <f>SUM($E$7:J7)</f>
        <v>6</v>
      </c>
      <c r="K6" s="36">
        <f>SUM($E$7:K7)</f>
        <v>7</v>
      </c>
      <c r="L6" s="36">
        <f>SUM($E$7:L7)</f>
        <v>7</v>
      </c>
      <c r="M6" s="36">
        <f>SUM($E$7:M7)</f>
        <v>7</v>
      </c>
      <c r="N6" s="36">
        <f>SUM($E$7:N7)</f>
        <v>7</v>
      </c>
      <c r="O6" s="36">
        <f>SUM($E$7:O7)</f>
        <v>9</v>
      </c>
      <c r="P6" s="36">
        <f>SUM($E$7:P7)</f>
        <v>14</v>
      </c>
      <c r="Q6" s="36">
        <f>SUM($E$7:Q7)</f>
        <v>14</v>
      </c>
      <c r="R6" s="36">
        <f>SUM($E$7:R7)</f>
        <v>19</v>
      </c>
      <c r="S6" s="36">
        <f>SUM($E$7:S7)</f>
        <v>19</v>
      </c>
      <c r="T6" s="36">
        <f>SUM($E$7:T7)</f>
        <v>19</v>
      </c>
      <c r="U6" s="36">
        <f>SUM($E$7:U7)</f>
        <v>21</v>
      </c>
      <c r="V6" s="36">
        <f>SUM($E$7:V7)</f>
        <v>23</v>
      </c>
      <c r="W6" s="36">
        <f>SUM($E$7:W7)</f>
        <v>23</v>
      </c>
      <c r="X6" s="36">
        <f>SUM($E$7:X7)</f>
        <v>23</v>
      </c>
      <c r="Y6" s="36">
        <f>SUM($E$7:Y7)</f>
        <v>26</v>
      </c>
      <c r="Z6" s="36">
        <f>SUM($E$7:Z7)</f>
        <v>26</v>
      </c>
      <c r="AA6" s="36">
        <f>SUM($E$7:AA7)</f>
        <v>26</v>
      </c>
      <c r="AB6" s="36">
        <f>SUM($E$7:AB7)</f>
        <v>26</v>
      </c>
      <c r="AC6" s="36">
        <f>SUM($E$7:AC7)</f>
        <v>27</v>
      </c>
      <c r="AD6" s="36">
        <f>SUM($E$7:AD7)</f>
        <v>27</v>
      </c>
      <c r="AE6" s="36">
        <f>SUM($E$7:AE7)</f>
        <v>27</v>
      </c>
      <c r="AF6" s="36">
        <f>SUM($E$7:AF7)</f>
        <v>31</v>
      </c>
    </row>
    <row r="7" spans="1:55" ht="15" customHeight="1" x14ac:dyDescent="0.3">
      <c r="A7" s="126" t="s">
        <v>30</v>
      </c>
      <c r="B7" s="127"/>
      <c r="C7" s="128"/>
      <c r="D7" s="37">
        <f>SUM(E7:G7)</f>
        <v>0</v>
      </c>
      <c r="E7" s="38">
        <f>SUM(E10:E21)</f>
        <v>0</v>
      </c>
      <c r="F7" s="38">
        <f>SUM(F10:F21)</f>
        <v>0</v>
      </c>
      <c r="G7" s="38">
        <f t="shared" ref="G7:AF7" si="2">SUM(G10:G21)</f>
        <v>0</v>
      </c>
      <c r="H7" s="38">
        <f t="shared" si="2"/>
        <v>4</v>
      </c>
      <c r="I7" s="38">
        <f t="shared" si="2"/>
        <v>2</v>
      </c>
      <c r="J7" s="38">
        <f t="shared" si="2"/>
        <v>0</v>
      </c>
      <c r="K7" s="38">
        <f t="shared" si="2"/>
        <v>1</v>
      </c>
      <c r="L7" s="38">
        <f t="shared" si="2"/>
        <v>0</v>
      </c>
      <c r="M7" s="38">
        <f t="shared" si="2"/>
        <v>0</v>
      </c>
      <c r="N7" s="38">
        <f t="shared" si="2"/>
        <v>0</v>
      </c>
      <c r="O7" s="38">
        <f t="shared" si="2"/>
        <v>2</v>
      </c>
      <c r="P7" s="38">
        <f t="shared" si="2"/>
        <v>5</v>
      </c>
      <c r="Q7" s="38">
        <f t="shared" si="2"/>
        <v>0</v>
      </c>
      <c r="R7" s="38">
        <f t="shared" si="2"/>
        <v>5</v>
      </c>
      <c r="S7" s="38">
        <f t="shared" si="2"/>
        <v>0</v>
      </c>
      <c r="T7" s="38">
        <f t="shared" si="2"/>
        <v>0</v>
      </c>
      <c r="U7" s="38">
        <f t="shared" si="2"/>
        <v>2</v>
      </c>
      <c r="V7" s="38">
        <f t="shared" si="2"/>
        <v>2</v>
      </c>
      <c r="W7" s="38">
        <f t="shared" si="2"/>
        <v>0</v>
      </c>
      <c r="X7" s="38">
        <f t="shared" si="2"/>
        <v>0</v>
      </c>
      <c r="Y7" s="38">
        <f t="shared" si="2"/>
        <v>3</v>
      </c>
      <c r="Z7" s="38">
        <f t="shared" si="2"/>
        <v>0</v>
      </c>
      <c r="AA7" s="38">
        <f t="shared" si="2"/>
        <v>0</v>
      </c>
      <c r="AB7" s="38">
        <f t="shared" si="2"/>
        <v>0</v>
      </c>
      <c r="AC7" s="38">
        <f t="shared" si="2"/>
        <v>1</v>
      </c>
      <c r="AD7" s="38">
        <f t="shared" si="2"/>
        <v>0</v>
      </c>
      <c r="AE7" s="38">
        <f t="shared" si="2"/>
        <v>0</v>
      </c>
      <c r="AF7" s="38">
        <f>SUM(AF10:AF21)</f>
        <v>4</v>
      </c>
    </row>
    <row r="9" spans="1:55" s="23" customFormat="1" ht="21" customHeight="1" x14ac:dyDescent="0.3">
      <c r="A9" s="98" t="s">
        <v>0</v>
      </c>
      <c r="B9" s="98" t="s">
        <v>1</v>
      </c>
      <c r="C9" s="98" t="s">
        <v>34</v>
      </c>
      <c r="D9" s="98" t="s">
        <v>30</v>
      </c>
      <c r="E9" s="132" t="s">
        <v>33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</row>
    <row r="10" spans="1:55" x14ac:dyDescent="0.3">
      <c r="A10" s="87" t="str">
        <f>'Pila-Sprint2'!A4</f>
        <v>ID002_T1</v>
      </c>
      <c r="B10" s="69" t="str">
        <f>'Pila-Sprint2'!B4</f>
        <v>Tooltip interactivo con nombre y descripción del Pokémon/objeto/carta</v>
      </c>
      <c r="C10" s="69" t="str">
        <f>'Diario-Restante-Sprint2'!C10</f>
        <v>Iván</v>
      </c>
      <c r="D10" s="95">
        <f>SUM(E10:AF10)</f>
        <v>4</v>
      </c>
      <c r="E10" s="95"/>
      <c r="F10" s="95"/>
      <c r="G10" s="95"/>
      <c r="H10" s="95">
        <v>2</v>
      </c>
      <c r="I10" s="95"/>
      <c r="J10" s="95"/>
      <c r="K10" s="95"/>
      <c r="L10" s="95"/>
      <c r="M10" s="95"/>
      <c r="N10" s="95"/>
      <c r="O10" s="95">
        <v>2</v>
      </c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1:55" x14ac:dyDescent="0.3">
      <c r="A11" s="87" t="str">
        <f>'Pila-Sprint2'!A6</f>
        <v>ID003_T1</v>
      </c>
      <c r="B11" s="69" t="str">
        <f>'Pila-Sprint2'!B6</f>
        <v>Las Poké Balls se pueden coger y lanzar</v>
      </c>
      <c r="C11" s="69" t="str">
        <f>'Diario-Restante-Sprint2'!C11</f>
        <v>Angelo</v>
      </c>
      <c r="D11" s="95">
        <f t="shared" ref="D11:D21" si="3">SUM(E11:AF11)</f>
        <v>2</v>
      </c>
      <c r="E11" s="95"/>
      <c r="F11" s="95"/>
      <c r="G11" s="95"/>
      <c r="H11" s="95">
        <v>2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1:55" x14ac:dyDescent="0.3">
      <c r="A12" s="87" t="str">
        <f>'Pila-Sprint2'!A7</f>
        <v>ID003_T2</v>
      </c>
      <c r="B12" s="69" t="str">
        <f>'Pila-Sprint2'!B7</f>
        <v>Las Poké Balls emiten sonido al colisionar con una superficie</v>
      </c>
      <c r="C12" s="69" t="str">
        <f>'Diario-Restante-Sprint2'!C12</f>
        <v>Angelo</v>
      </c>
      <c r="D12" s="95">
        <f t="shared" si="3"/>
        <v>1</v>
      </c>
      <c r="E12" s="95"/>
      <c r="F12" s="95"/>
      <c r="G12" s="95"/>
      <c r="H12" s="95"/>
      <c r="I12" s="95">
        <v>1</v>
      </c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</row>
    <row r="13" spans="1:55" ht="15" customHeight="1" x14ac:dyDescent="0.3">
      <c r="A13" s="87" t="str">
        <f>'Pila-Sprint2'!A8</f>
        <v>ID003_T3</v>
      </c>
      <c r="B13" s="69" t="str">
        <f>'Pila-Sprint2'!B8</f>
        <v>Se reproduce una animación de "apertura" al colisionar con una superficie</v>
      </c>
      <c r="C13" s="69" t="str">
        <f>'Diario-Restante-Sprint2'!C13</f>
        <v>Angelo</v>
      </c>
      <c r="D13" s="95">
        <f t="shared" si="3"/>
        <v>3</v>
      </c>
      <c r="E13" s="95"/>
      <c r="F13" s="95"/>
      <c r="G13" s="95"/>
      <c r="H13" s="95"/>
      <c r="I13" s="95">
        <v>1</v>
      </c>
      <c r="J13" s="95"/>
      <c r="K13" s="95">
        <v>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>
        <v>1</v>
      </c>
      <c r="Z13" s="95"/>
      <c r="AA13" s="95"/>
      <c r="AB13" s="95"/>
      <c r="AC13" s="95"/>
      <c r="AD13" s="95"/>
      <c r="AE13" s="95"/>
      <c r="AF13" s="95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</row>
    <row r="14" spans="1:55" x14ac:dyDescent="0.3">
      <c r="A14" s="87" t="str">
        <f>'Pila-Sprint2'!A10</f>
        <v>ID005_T1</v>
      </c>
      <c r="B14" s="69" t="str">
        <f>'Pila-Sprint2'!B10</f>
        <v>Galería con línea de tiempo de la historia de Pokémon</v>
      </c>
      <c r="C14" s="69" t="str">
        <f>'Diario-Restante-Sprint2'!C14</f>
        <v>Rodrigo</v>
      </c>
      <c r="D14" s="95">
        <f t="shared" si="3"/>
        <v>4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>
        <v>4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</row>
    <row r="15" spans="1:55" x14ac:dyDescent="0.3">
      <c r="A15" s="87" t="str">
        <f>'Pila-Sprint2'!A12</f>
        <v>ID006_T1</v>
      </c>
      <c r="B15" s="69" t="str">
        <f>'Pila-Sprint2'!B12</f>
        <v>Botón ubicado en zona estratégica</v>
      </c>
      <c r="C15" s="69" t="str">
        <f>'Diario-Restante-Sprint2'!C15</f>
        <v>Rodrigo</v>
      </c>
      <c r="D15" s="95">
        <f t="shared" si="3"/>
        <v>1</v>
      </c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>
        <v>1</v>
      </c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</row>
    <row r="16" spans="1:55" x14ac:dyDescent="0.3">
      <c r="A16" s="87" t="str">
        <f>'Pila-Sprint2'!A13</f>
        <v>ID006_T2</v>
      </c>
      <c r="B16" s="69" t="str">
        <f>'Pila-Sprint2'!B13</f>
        <v>Funcionalidad Play/Pause y control de volumen</v>
      </c>
      <c r="C16" s="69" t="str">
        <f>'Diario-Restante-Sprint2'!C16</f>
        <v>Angelo</v>
      </c>
      <c r="D16" s="95">
        <f t="shared" si="3"/>
        <v>5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>
        <v>3</v>
      </c>
      <c r="S16" s="95"/>
      <c r="T16" s="95"/>
      <c r="U16" s="95">
        <v>2</v>
      </c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</row>
    <row r="17" spans="1:55" x14ac:dyDescent="0.3">
      <c r="A17" s="87" t="str">
        <f>'Pila-Sprint2'!A15</f>
        <v>ID007_T1</v>
      </c>
      <c r="B17" s="69" t="str">
        <f>'Pila-Sprint2'!B15</f>
        <v>Luces se encienden al acercarse a estatuas</v>
      </c>
      <c r="C17" s="69" t="str">
        <f>'Diario-Restante-Sprint2'!C17</f>
        <v>Iván</v>
      </c>
      <c r="D17" s="95">
        <f t="shared" si="3"/>
        <v>3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>
        <v>2</v>
      </c>
      <c r="S17" s="95"/>
      <c r="T17" s="95"/>
      <c r="U17" s="95"/>
      <c r="V17" s="95">
        <v>1</v>
      </c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</row>
    <row r="18" spans="1:55" x14ac:dyDescent="0.3">
      <c r="A18" s="87" t="str">
        <f>'Pila-Sprint2'!A16</f>
        <v>ID007_T2</v>
      </c>
      <c r="B18" s="69" t="str">
        <f>'Pila-Sprint2'!B16</f>
        <v>Efecto de atenuación (fade-in/fade-out)</v>
      </c>
      <c r="C18" s="69" t="str">
        <f>'Diario-Restante-Sprint2'!C18</f>
        <v>Iván</v>
      </c>
      <c r="D18" s="95">
        <f t="shared" si="3"/>
        <v>1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>
        <v>1</v>
      </c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</row>
    <row r="19" spans="1:55" x14ac:dyDescent="0.3">
      <c r="A19" s="87" t="str">
        <f>'Pila-Sprint2'!A18</f>
        <v>ID008_T1</v>
      </c>
      <c r="B19" s="69" t="str">
        <f>'Pila-Sprint2'!B18</f>
        <v>Sistema de preguntas basado en siluetas de Pokémon</v>
      </c>
      <c r="C19" s="69" t="str">
        <f>'Diario-Restante-Sprint2'!C19</f>
        <v>Iván</v>
      </c>
      <c r="D19" s="95">
        <f t="shared" si="3"/>
        <v>3</v>
      </c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>
        <v>1</v>
      </c>
      <c r="Z19" s="95"/>
      <c r="AA19" s="95"/>
      <c r="AB19" s="95"/>
      <c r="AC19" s="95">
        <v>0.5</v>
      </c>
      <c r="AD19" s="95"/>
      <c r="AE19" s="95"/>
      <c r="AF19" s="95">
        <v>1.5</v>
      </c>
    </row>
    <row r="20" spans="1:55" x14ac:dyDescent="0.3">
      <c r="A20" s="87" t="str">
        <f>'Pila-Sprint2'!A19</f>
        <v>ID008_T2</v>
      </c>
      <c r="B20" s="69" t="str">
        <f>'Pila-Sprint2'!B19</f>
        <v>Sistema de localización/internacionalización</v>
      </c>
      <c r="C20" s="69" t="str">
        <f>'Diario-Restante-Sprint2'!C20</f>
        <v>Iván</v>
      </c>
      <c r="D20" s="95">
        <f t="shared" si="3"/>
        <v>1</v>
      </c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>
        <v>0.5</v>
      </c>
      <c r="AD20" s="95"/>
      <c r="AE20" s="95"/>
      <c r="AF20" s="95">
        <v>0.5</v>
      </c>
    </row>
    <row r="21" spans="1:55" x14ac:dyDescent="0.3">
      <c r="A21" s="87" t="str">
        <f>'Pila-Sprint2'!A20</f>
        <v>ID008_T3</v>
      </c>
      <c r="B21" s="69" t="str">
        <f>'Pila-Sprint2'!B20</f>
        <v>Feedback visual</v>
      </c>
      <c r="C21" s="69" t="str">
        <f>'Diario-Restante-Sprint2'!C21</f>
        <v>Iván</v>
      </c>
      <c r="D21" s="95">
        <f t="shared" si="3"/>
        <v>3</v>
      </c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>
        <v>1</v>
      </c>
      <c r="Z21" s="95"/>
      <c r="AA21" s="95"/>
      <c r="AB21" s="95"/>
      <c r="AC21" s="95"/>
      <c r="AD21" s="95"/>
      <c r="AE21" s="95"/>
      <c r="AF21" s="95">
        <v>2</v>
      </c>
    </row>
    <row r="22" spans="1:55" x14ac:dyDescent="0.3">
      <c r="C22" s="1"/>
    </row>
    <row r="23" spans="1:55" x14ac:dyDescent="0.3">
      <c r="C23" s="1"/>
    </row>
    <row r="24" spans="1:55" x14ac:dyDescent="0.3">
      <c r="C24" s="1"/>
    </row>
    <row r="25" spans="1:55" x14ac:dyDescent="0.3">
      <c r="C25" s="1"/>
    </row>
    <row r="26" spans="1:55" x14ac:dyDescent="0.3">
      <c r="C26" s="1"/>
    </row>
    <row r="27" spans="1:55" x14ac:dyDescent="0.3">
      <c r="C27" s="1"/>
    </row>
    <row r="28" spans="1:55" x14ac:dyDescent="0.3">
      <c r="C28" s="1"/>
    </row>
    <row r="29" spans="1:55" x14ac:dyDescent="0.3">
      <c r="C29" s="1"/>
    </row>
    <row r="30" spans="1:55" x14ac:dyDescent="0.3">
      <c r="C30" s="1"/>
    </row>
    <row r="31" spans="1:55" x14ac:dyDescent="0.3">
      <c r="C31" s="1"/>
    </row>
    <row r="32" spans="1:55" x14ac:dyDescent="0.3">
      <c r="C32" s="1"/>
    </row>
    <row r="33" spans="3:55" x14ac:dyDescent="0.3">
      <c r="C33" s="1"/>
    </row>
    <row r="34" spans="3:55" x14ac:dyDescent="0.3">
      <c r="C34" s="1"/>
    </row>
    <row r="35" spans="3:55" x14ac:dyDescent="0.3">
      <c r="C35" s="1"/>
    </row>
    <row r="36" spans="3:55" x14ac:dyDescent="0.3"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</row>
    <row r="37" spans="3:55" x14ac:dyDescent="0.3"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</row>
    <row r="38" spans="3:55" x14ac:dyDescent="0.3"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</row>
    <row r="39" spans="3:55" x14ac:dyDescent="0.3"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</row>
    <row r="40" spans="3:55" x14ac:dyDescent="0.3"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</row>
    <row r="41" spans="3:55" x14ac:dyDescent="0.3"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</row>
    <row r="42" spans="3:55" x14ac:dyDescent="0.3"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</row>
    <row r="43" spans="3:55" x14ac:dyDescent="0.3"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</row>
    <row r="44" spans="3:55" x14ac:dyDescent="0.3"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</row>
    <row r="45" spans="3:55" x14ac:dyDescent="0.3"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</row>
    <row r="46" spans="3:55" x14ac:dyDescent="0.3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3:55" x14ac:dyDescent="0.3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3:55" x14ac:dyDescent="0.3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5:54" x14ac:dyDescent="0.3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5:54" x14ac:dyDescent="0.3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5:54" x14ac:dyDescent="0.3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5:54" x14ac:dyDescent="0.3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5:54" x14ac:dyDescent="0.3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5:54" x14ac:dyDescent="0.3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</sheetData>
  <mergeCells count="3">
    <mergeCell ref="A6:C6"/>
    <mergeCell ref="A7:C7"/>
    <mergeCell ref="E9:AF9"/>
  </mergeCells>
  <conditionalFormatting sqref="E3:AF3">
    <cfRule type="cellIs" dxfId="1" priority="1" stopIfTrue="1" operator="equal">
      <formula>"S"</formula>
    </cfRule>
    <cfRule type="cellIs" dxfId="0" priority="2" stopIfTrue="1" operator="equal">
      <formula>"D"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78B8-8A58-417D-94A4-123FD2E49459}">
  <dimension ref="A2:AD29"/>
  <sheetViews>
    <sheetView zoomScaleNormal="100" workbookViewId="0"/>
  </sheetViews>
  <sheetFormatPr baseColWidth="10" defaultRowHeight="14.4" outlineLevelRow="1" x14ac:dyDescent="0.3"/>
  <cols>
    <col min="1" max="1" width="28.6640625" customWidth="1"/>
    <col min="2" max="3" width="8.88671875" customWidth="1"/>
    <col min="4" max="4" width="7.109375" customWidth="1"/>
    <col min="5" max="5" width="9.6640625" style="48" customWidth="1"/>
    <col min="6" max="6" width="9.6640625" customWidth="1"/>
    <col min="7" max="7" width="10.44140625" customWidth="1"/>
    <col min="8" max="9" width="11.109375" customWidth="1"/>
    <col min="10" max="11" width="11.88671875" customWidth="1"/>
  </cols>
  <sheetData>
    <row r="2" spans="5:5" x14ac:dyDescent="0.3">
      <c r="E2"/>
    </row>
    <row r="3" spans="5:5" x14ac:dyDescent="0.3">
      <c r="E3"/>
    </row>
    <row r="9" spans="5:5" x14ac:dyDescent="0.3">
      <c r="E9"/>
    </row>
    <row r="12" spans="5:5" x14ac:dyDescent="0.3">
      <c r="E12"/>
    </row>
    <row r="14" spans="5:5" x14ac:dyDescent="0.3">
      <c r="E14"/>
    </row>
    <row r="26" spans="1:30" x14ac:dyDescent="0.3">
      <c r="A26" s="46" t="s">
        <v>35</v>
      </c>
      <c r="B26" s="46"/>
      <c r="C26" s="46"/>
      <c r="E26"/>
    </row>
    <row r="27" spans="1:30" ht="37.799999999999997" x14ac:dyDescent="0.3">
      <c r="A27" s="46" t="s">
        <v>36</v>
      </c>
      <c r="B27" s="47">
        <f>'Pila-Sprint2'!C2</f>
        <v>37</v>
      </c>
      <c r="C27" s="32">
        <v>45958</v>
      </c>
      <c r="D27" s="32">
        <v>45959</v>
      </c>
      <c r="E27" s="32">
        <v>45960</v>
      </c>
      <c r="F27" s="32">
        <v>45961</v>
      </c>
      <c r="G27" s="32">
        <v>45962</v>
      </c>
      <c r="H27" s="32">
        <v>45963</v>
      </c>
      <c r="I27" s="32">
        <v>45964</v>
      </c>
      <c r="J27" s="32">
        <v>45965</v>
      </c>
      <c r="K27" s="32">
        <v>45966</v>
      </c>
      <c r="L27" s="32">
        <v>45967</v>
      </c>
      <c r="M27" s="32">
        <v>45968</v>
      </c>
      <c r="N27" s="32">
        <v>45969</v>
      </c>
      <c r="O27" s="32">
        <v>45970</v>
      </c>
      <c r="P27" s="32">
        <v>45971</v>
      </c>
      <c r="Q27" s="32">
        <v>45972</v>
      </c>
      <c r="R27" s="32">
        <v>45973</v>
      </c>
      <c r="S27" s="32">
        <v>45974</v>
      </c>
      <c r="T27" s="32">
        <v>45975</v>
      </c>
      <c r="U27" s="32">
        <v>45976</v>
      </c>
      <c r="V27" s="32">
        <v>45977</v>
      </c>
      <c r="W27" s="32">
        <v>45978</v>
      </c>
      <c r="X27" s="32">
        <v>45979</v>
      </c>
      <c r="Y27" s="32">
        <v>45980</v>
      </c>
      <c r="Z27" s="32">
        <v>45981</v>
      </c>
      <c r="AA27" s="32">
        <v>45982</v>
      </c>
      <c r="AB27" s="32">
        <v>45983</v>
      </c>
      <c r="AC27" s="32">
        <v>45984</v>
      </c>
      <c r="AD27" s="32">
        <v>45985</v>
      </c>
    </row>
    <row r="28" spans="1:30" ht="15" x14ac:dyDescent="0.3">
      <c r="A28" s="46" t="s">
        <v>37</v>
      </c>
      <c r="B28" s="34"/>
      <c r="C28" s="96">
        <f>B27/28</f>
        <v>1.3214285714285714</v>
      </c>
      <c r="D28" s="96">
        <f>B27/28</f>
        <v>1.3214285714285714</v>
      </c>
      <c r="E28" s="96">
        <f>B27/28</f>
        <v>1.3214285714285714</v>
      </c>
      <c r="F28" s="96">
        <f>B27/28</f>
        <v>1.3214285714285714</v>
      </c>
      <c r="G28" s="96">
        <f>B27/28</f>
        <v>1.3214285714285714</v>
      </c>
      <c r="H28" s="96">
        <f>B27/28</f>
        <v>1.3214285714285714</v>
      </c>
      <c r="I28" s="96">
        <f>B27/28</f>
        <v>1.3214285714285714</v>
      </c>
      <c r="J28" s="96">
        <f>B27/28</f>
        <v>1.3214285714285714</v>
      </c>
      <c r="K28" s="96">
        <f>B27/28</f>
        <v>1.3214285714285714</v>
      </c>
      <c r="L28" s="96">
        <f>B27/28</f>
        <v>1.3214285714285714</v>
      </c>
      <c r="M28" s="96">
        <f>B27/28</f>
        <v>1.3214285714285714</v>
      </c>
      <c r="N28" s="96">
        <f>B27/28</f>
        <v>1.3214285714285714</v>
      </c>
      <c r="O28" s="96">
        <f>B27/28</f>
        <v>1.3214285714285714</v>
      </c>
      <c r="P28" s="96">
        <f>B27/28</f>
        <v>1.3214285714285714</v>
      </c>
      <c r="Q28" s="96">
        <f>B27/28</f>
        <v>1.3214285714285714</v>
      </c>
      <c r="R28" s="96">
        <f>B27/28</f>
        <v>1.3214285714285714</v>
      </c>
      <c r="S28" s="96">
        <f>B27/28</f>
        <v>1.3214285714285714</v>
      </c>
      <c r="T28" s="96">
        <f>B27/28</f>
        <v>1.3214285714285714</v>
      </c>
      <c r="U28" s="96">
        <f>B27/28</f>
        <v>1.3214285714285714</v>
      </c>
      <c r="V28" s="96">
        <f>B27/28</f>
        <v>1.3214285714285714</v>
      </c>
      <c r="W28" s="96">
        <f>B27/28</f>
        <v>1.3214285714285714</v>
      </c>
      <c r="X28" s="96">
        <f>B27/28</f>
        <v>1.3214285714285714</v>
      </c>
      <c r="Y28" s="96">
        <f>B27/28</f>
        <v>1.3214285714285714</v>
      </c>
      <c r="Z28" s="96">
        <f>B27/28</f>
        <v>1.3214285714285714</v>
      </c>
      <c r="AA28" s="96">
        <f>B27/28</f>
        <v>1.3214285714285714</v>
      </c>
      <c r="AB28" s="96">
        <f>B27/28</f>
        <v>1.3214285714285714</v>
      </c>
      <c r="AC28" s="96">
        <f>B27/28</f>
        <v>1.3214285714285714</v>
      </c>
      <c r="AD28" s="96">
        <f>B27/28</f>
        <v>1.3214285714285714</v>
      </c>
    </row>
    <row r="29" spans="1:30" ht="15" outlineLevel="1" x14ac:dyDescent="0.3">
      <c r="A29" s="46" t="s">
        <v>38</v>
      </c>
      <c r="B29" s="34"/>
      <c r="C29" s="96">
        <f>B27</f>
        <v>37</v>
      </c>
      <c r="D29" s="96">
        <f>B27-SUM(C28:D28)</f>
        <v>34.357142857142854</v>
      </c>
      <c r="E29" s="96">
        <f>B27-SUM(C28:E28)</f>
        <v>33.035714285714285</v>
      </c>
      <c r="F29" s="96">
        <f>B27-SUM(C28:F28)</f>
        <v>31.714285714285715</v>
      </c>
      <c r="G29" s="96">
        <f>B27-SUM(C28:G28)</f>
        <v>30.392857142857142</v>
      </c>
      <c r="H29" s="96">
        <f>B27-SUM(C28:H28)</f>
        <v>29.071428571428573</v>
      </c>
      <c r="I29" s="96">
        <f>B27-SUM(C28:I28)</f>
        <v>27.75</v>
      </c>
      <c r="J29" s="96">
        <f>B27-SUM(C28:J28)</f>
        <v>26.428571428571431</v>
      </c>
      <c r="K29" s="96">
        <f>B27-SUM(C28:K28)</f>
        <v>25.107142857142858</v>
      </c>
      <c r="L29" s="96">
        <f>B27-SUM(C28:L28)</f>
        <v>23.785714285714285</v>
      </c>
      <c r="M29" s="96">
        <f>B27-SUM(C28:M28)</f>
        <v>22.464285714285715</v>
      </c>
      <c r="N29" s="96">
        <f>B27-SUM(C28:N28)</f>
        <v>21.142857142857146</v>
      </c>
      <c r="O29" s="96">
        <f>B27-SUM(C28:O28)</f>
        <v>19.821428571428573</v>
      </c>
      <c r="P29" s="96">
        <f>B27-SUM(C28:P28)</f>
        <v>18.5</v>
      </c>
      <c r="Q29" s="96">
        <f>B27-SUM(C28:Q28)</f>
        <v>17.178571428571427</v>
      </c>
      <c r="R29" s="96">
        <f>B27-SUM(C28:R28)</f>
        <v>15.857142857142854</v>
      </c>
      <c r="S29" s="96">
        <f>B27-SUM(C28:S28)</f>
        <v>14.535714285714281</v>
      </c>
      <c r="T29" s="96">
        <f>B27-SUM(C28:T28)</f>
        <v>13.214285714285708</v>
      </c>
      <c r="U29" s="96">
        <f>B27-SUM(C28:U28)</f>
        <v>11.892857142857135</v>
      </c>
      <c r="V29" s="96">
        <f>B27-SUM(C28:V28)</f>
        <v>10.571428571428562</v>
      </c>
      <c r="W29" s="96">
        <f>B27-SUM(C28:W28)</f>
        <v>9.2499999999999893</v>
      </c>
      <c r="X29" s="96">
        <f>B27-SUM(C28:X28)</f>
        <v>7.9285714285714164</v>
      </c>
      <c r="Y29" s="96">
        <f>B27-SUM(C28:Y28)</f>
        <v>6.6071428571428434</v>
      </c>
      <c r="Z29" s="96">
        <f>B27-SUM(C28:Z28)</f>
        <v>5.2857142857142705</v>
      </c>
      <c r="AA29" s="96">
        <f>B27-SUM(C28:AA28)</f>
        <v>3.9642857142857011</v>
      </c>
      <c r="AB29" s="96">
        <f>B27-SUM(C28:AB28)</f>
        <v>2.6428571428571317</v>
      </c>
      <c r="AC29" s="96">
        <f>B27-SUM(C28:AC28)</f>
        <v>1.3214285714285623</v>
      </c>
      <c r="AD29" s="96">
        <f>B27-SUM(C28:AD28)</f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D1A4-3305-4736-973E-1EA945529E19}">
  <dimension ref="A1:C22"/>
  <sheetViews>
    <sheetView workbookViewId="0"/>
  </sheetViews>
  <sheetFormatPr baseColWidth="10" defaultRowHeight="14.4" x14ac:dyDescent="0.3"/>
  <cols>
    <col min="1" max="1" width="55.109375" customWidth="1"/>
    <col min="2" max="2" width="40.6640625" customWidth="1"/>
    <col min="3" max="3" width="57.33203125" customWidth="1"/>
  </cols>
  <sheetData>
    <row r="1" spans="1:3" ht="39.9" customHeight="1" x14ac:dyDescent="0.3">
      <c r="A1" s="68" t="s">
        <v>46</v>
      </c>
      <c r="B1" s="68" t="s">
        <v>47</v>
      </c>
      <c r="C1" s="68" t="s">
        <v>48</v>
      </c>
    </row>
    <row r="2" spans="1:3" ht="39.9" customHeight="1" x14ac:dyDescent="0.3">
      <c r="A2" s="92" t="s">
        <v>116</v>
      </c>
      <c r="B2" s="92" t="s">
        <v>120</v>
      </c>
      <c r="C2" s="92" t="s">
        <v>123</v>
      </c>
    </row>
    <row r="3" spans="1:3" ht="39.9" customHeight="1" x14ac:dyDescent="0.3">
      <c r="A3" s="92" t="s">
        <v>117</v>
      </c>
      <c r="B3" s="92" t="s">
        <v>121</v>
      </c>
      <c r="C3" s="92" t="s">
        <v>124</v>
      </c>
    </row>
    <row r="4" spans="1:3" ht="39.9" customHeight="1" x14ac:dyDescent="0.3">
      <c r="A4" s="92" t="s">
        <v>119</v>
      </c>
      <c r="B4" s="92" t="s">
        <v>122</v>
      </c>
      <c r="C4" s="92" t="s">
        <v>126</v>
      </c>
    </row>
    <row r="5" spans="1:3" ht="39.9" customHeight="1" x14ac:dyDescent="0.3">
      <c r="A5" s="92" t="s">
        <v>118</v>
      </c>
      <c r="B5" s="92" t="s">
        <v>125</v>
      </c>
      <c r="C5" s="92"/>
    </row>
    <row r="6" spans="1:3" ht="39.9" customHeight="1" x14ac:dyDescent="0.3">
      <c r="A6" s="92"/>
      <c r="B6" s="92"/>
      <c r="C6" s="92"/>
    </row>
    <row r="7" spans="1:3" ht="39.9" customHeight="1" x14ac:dyDescent="0.3"/>
    <row r="8" spans="1:3" ht="39.9" customHeight="1" x14ac:dyDescent="0.3"/>
    <row r="9" spans="1:3" ht="39.9" customHeight="1" x14ac:dyDescent="0.3"/>
    <row r="10" spans="1:3" ht="39.9" customHeight="1" x14ac:dyDescent="0.3"/>
    <row r="11" spans="1:3" ht="39.9" customHeight="1" x14ac:dyDescent="0.3"/>
    <row r="12" spans="1:3" ht="39.9" customHeight="1" x14ac:dyDescent="0.3"/>
    <row r="13" spans="1:3" ht="39.9" customHeight="1" x14ac:dyDescent="0.3"/>
    <row r="14" spans="1:3" ht="39.9" customHeight="1" x14ac:dyDescent="0.3"/>
    <row r="15" spans="1:3" ht="39.9" customHeight="1" x14ac:dyDescent="0.3"/>
    <row r="16" spans="1:3" ht="39.9" customHeight="1" x14ac:dyDescent="0.3"/>
    <row r="17" ht="39.9" customHeight="1" x14ac:dyDescent="0.3"/>
    <row r="18" ht="39.9" customHeight="1" x14ac:dyDescent="0.3"/>
    <row r="19" ht="39.9" customHeight="1" x14ac:dyDescent="0.3"/>
    <row r="20" ht="39.9" customHeight="1" x14ac:dyDescent="0.3"/>
    <row r="21" ht="39.9" customHeight="1" x14ac:dyDescent="0.3"/>
    <row r="22" ht="39.9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Backlog Producto</vt:lpstr>
      <vt:lpstr>Pila-Sprint1</vt:lpstr>
      <vt:lpstr>Diario-Restante-Sprint1</vt:lpstr>
      <vt:lpstr>Diario-Realizado-Sprint1</vt:lpstr>
      <vt:lpstr>Burns-Sprint1</vt:lpstr>
      <vt:lpstr>Retrospectiva Sprint 1</vt:lpstr>
      <vt:lpstr>Pila-Sprint2</vt:lpstr>
      <vt:lpstr>Diario-Restante-Sprint2</vt:lpstr>
      <vt:lpstr>Diario-Realizado-Sprint2</vt:lpstr>
      <vt:lpstr>Burns-Sprint2</vt:lpstr>
      <vt:lpstr>Retrospectiva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2025-11-26T16:46:13Z</dcterms:modified>
</cp:coreProperties>
</file>