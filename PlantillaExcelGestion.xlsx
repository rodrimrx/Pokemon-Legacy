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defaultThemeVersion="124226"/>
  <xr:revisionPtr revIDLastSave="0" documentId="13_ncr:1_{70B7CD8C-C0B2-4059-85D9-7D6C3C54719E}" xr6:coauthVersionLast="47" xr6:coauthVersionMax="47" xr10:uidLastSave="{00000000-0000-0000-0000-000000000000}"/>
  <bookViews>
    <workbookView xWindow="1128" yWindow="2196" windowWidth="21912" windowHeight="8964" tabRatio="810" activeTab="2" xr2:uid="{00000000-000D-0000-FFFF-FFFF00000000}"/>
  </bookViews>
  <sheets>
    <sheet name="Resumen" sheetId="12" r:id="rId1"/>
    <sheet name="Backlog Producto" sheetId="4" r:id="rId2"/>
    <sheet name="Pila-Sprint1" sheetId="9" r:id="rId3"/>
    <sheet name="Pila-Sprint2" sheetId="19" r:id="rId4"/>
    <sheet name="Diario-Restante" sheetId="14" r:id="rId5"/>
    <sheet name="Diario-Realizado" sheetId="15" r:id="rId6"/>
    <sheet name="Burns" sheetId="16" r:id="rId7"/>
    <sheet name="Retrospectiva Sprint 1" sheetId="17" r:id="rId8"/>
    <sheet name="Retrospectiva Sprint 2" sheetId="20" r:id="rId9"/>
  </sheets>
  <definedNames>
    <definedName name="_xlnm._FilterDatabase" localSheetId="1" hidden="1">'Backlog Producto'!$A$1:$D$16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9" l="1"/>
  <c r="C25" i="19"/>
  <c r="C22" i="19"/>
  <c r="C19" i="19"/>
  <c r="C16" i="19"/>
  <c r="C14" i="19"/>
  <c r="C10" i="19"/>
  <c r="C7" i="19"/>
  <c r="C3" i="19"/>
  <c r="C2" i="19"/>
  <c r="F6" i="4"/>
  <c r="F5" i="4"/>
  <c r="F2" i="4" s="1"/>
  <c r="F4" i="4"/>
  <c r="F3" i="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14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12" i="15"/>
  <c r="D13" i="15"/>
  <c r="D15" i="15"/>
  <c r="D16" i="15"/>
  <c r="D17" i="15"/>
  <c r="D18" i="15"/>
  <c r="D11" i="15"/>
  <c r="D10" i="15"/>
  <c r="AW3" i="15"/>
  <c r="AX3" i="15"/>
  <c r="AY3" i="15"/>
  <c r="AZ3" i="15"/>
  <c r="BA3" i="15"/>
  <c r="BB3" i="15"/>
  <c r="BC3" i="15"/>
  <c r="AW5" i="15"/>
  <c r="AX5" i="15"/>
  <c r="AY5" i="15"/>
  <c r="AZ5" i="15"/>
  <c r="BA5" i="15"/>
  <c r="BB5" i="15"/>
  <c r="BC5" i="15"/>
  <c r="AW7" i="15"/>
  <c r="AX7" i="15"/>
  <c r="AY7" i="15"/>
  <c r="AZ7" i="15"/>
  <c r="BA7" i="15"/>
  <c r="BB7" i="15"/>
  <c r="BC7" i="15"/>
  <c r="AG3" i="15"/>
  <c r="AH3" i="15"/>
  <c r="AI3" i="15"/>
  <c r="AJ3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G5" i="15"/>
  <c r="AH5" i="15"/>
  <c r="AI5" i="15"/>
  <c r="AJ5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B3" i="15"/>
  <c r="AC3" i="15"/>
  <c r="AD3" i="15"/>
  <c r="AE3" i="15"/>
  <c r="AF3" i="15"/>
  <c r="AB5" i="15"/>
  <c r="AC5" i="15"/>
  <c r="AD5" i="15"/>
  <c r="AE5" i="15"/>
  <c r="AF5" i="15"/>
  <c r="AB7" i="15"/>
  <c r="AC7" i="15"/>
  <c r="AD7" i="15"/>
  <c r="AE7" i="15"/>
  <c r="AF7" i="15"/>
  <c r="Z3" i="15"/>
  <c r="AA3" i="15"/>
  <c r="Z5" i="15"/>
  <c r="AA5" i="15"/>
  <c r="Z7" i="15"/>
  <c r="AA7" i="15"/>
  <c r="R3" i="15"/>
  <c r="S3" i="15"/>
  <c r="T3" i="15"/>
  <c r="U3" i="15"/>
  <c r="V3" i="15"/>
  <c r="W3" i="15"/>
  <c r="X3" i="15"/>
  <c r="Y3" i="15"/>
  <c r="R5" i="15"/>
  <c r="S5" i="15"/>
  <c r="T5" i="15"/>
  <c r="U5" i="15"/>
  <c r="V5" i="15"/>
  <c r="W5" i="15"/>
  <c r="X5" i="15"/>
  <c r="Y5" i="15"/>
  <c r="R7" i="15"/>
  <c r="S7" i="15"/>
  <c r="T7" i="15"/>
  <c r="U7" i="15"/>
  <c r="V7" i="15"/>
  <c r="W7" i="15"/>
  <c r="X7" i="15"/>
  <c r="Y7" i="15"/>
  <c r="O3" i="15"/>
  <c r="P3" i="15"/>
  <c r="Q3" i="15"/>
  <c r="O5" i="15"/>
  <c r="P5" i="15"/>
  <c r="Q5" i="15"/>
  <c r="O7" i="15"/>
  <c r="P7" i="15"/>
  <c r="Q7" i="15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AY7" i="14"/>
  <c r="AZ7" i="14"/>
  <c r="BA7" i="14"/>
  <c r="BB7" i="14"/>
  <c r="BC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O7" i="14"/>
  <c r="P7" i="14"/>
  <c r="Q7" i="14"/>
  <c r="R7" i="14"/>
  <c r="S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F7" i="4"/>
  <c r="E7" i="4"/>
  <c r="G7" i="4"/>
  <c r="G2" i="4"/>
  <c r="C2" i="4"/>
  <c r="C7" i="4"/>
  <c r="E14" i="12"/>
  <c r="E6" i="15"/>
  <c r="E7" i="15"/>
  <c r="E2" i="4"/>
  <c r="D2" i="4"/>
  <c r="C3" i="9"/>
  <c r="F7" i="15"/>
  <c r="G7" i="15"/>
  <c r="H7" i="15"/>
  <c r="I7" i="15"/>
  <c r="J7" i="15"/>
  <c r="K7" i="15"/>
  <c r="L7" i="15"/>
  <c r="M7" i="15"/>
  <c r="N7" i="15"/>
  <c r="F7" i="14"/>
  <c r="G7" i="14"/>
  <c r="H7" i="14"/>
  <c r="I7" i="14"/>
  <c r="J7" i="14"/>
  <c r="K7" i="14"/>
  <c r="L7" i="14"/>
  <c r="M7" i="14"/>
  <c r="N7" i="14"/>
  <c r="E7" i="14"/>
  <c r="N5" i="15"/>
  <c r="L5" i="15"/>
  <c r="K5" i="15"/>
  <c r="J5" i="15"/>
  <c r="I5" i="15"/>
  <c r="H5" i="15"/>
  <c r="G5" i="15"/>
  <c r="F5" i="15"/>
  <c r="E5" i="15"/>
  <c r="N3" i="15"/>
  <c r="M3" i="15"/>
  <c r="L3" i="15"/>
  <c r="K3" i="15"/>
  <c r="J3" i="15"/>
  <c r="I3" i="15"/>
  <c r="H3" i="15"/>
  <c r="G3" i="15"/>
  <c r="F3" i="15"/>
  <c r="E3" i="15"/>
  <c r="T7" i="14" l="1"/>
  <c r="D6" i="14"/>
  <c r="AY6" i="15"/>
  <c r="AX6" i="15"/>
  <c r="AW6" i="15"/>
  <c r="AL6" i="15"/>
  <c r="AK6" i="15"/>
  <c r="AE6" i="15"/>
  <c r="AI6" i="15"/>
  <c r="AD6" i="15"/>
  <c r="R6" i="15"/>
  <c r="AC6" i="15"/>
  <c r="S6" i="15"/>
  <c r="AB6" i="15"/>
  <c r="O6" i="15"/>
  <c r="AA6" i="15"/>
  <c r="T6" i="15"/>
  <c r="Z6" i="15"/>
  <c r="BC6" i="15"/>
  <c r="AQ6" i="15"/>
  <c r="BB6" i="15"/>
  <c r="AG6" i="15"/>
  <c r="AZ6" i="15"/>
  <c r="AF6" i="15"/>
  <c r="BA6" i="15"/>
  <c r="AV6" i="15"/>
  <c r="AT6" i="15"/>
  <c r="AS6" i="15"/>
  <c r="AU6" i="15"/>
  <c r="AR6" i="15"/>
  <c r="AP6" i="15"/>
  <c r="AO6" i="15"/>
  <c r="AN6" i="15"/>
  <c r="AM6" i="15"/>
  <c r="AJ6" i="15"/>
  <c r="AH6" i="15"/>
  <c r="Y6" i="15"/>
  <c r="X6" i="15"/>
  <c r="W6" i="15"/>
  <c r="V6" i="15"/>
  <c r="U6" i="15"/>
  <c r="Q6" i="15"/>
  <c r="P6" i="15"/>
  <c r="F6" i="15"/>
  <c r="H6" i="15"/>
  <c r="D7" i="15"/>
  <c r="G6" i="15"/>
  <c r="K6" i="15"/>
  <c r="M6" i="15"/>
  <c r="N6" i="15"/>
  <c r="J6" i="15"/>
  <c r="I6" i="15"/>
  <c r="L6" i="15"/>
  <c r="D7" i="14" l="1"/>
  <c r="N3" i="14"/>
  <c r="M3" i="14"/>
  <c r="L3" i="14"/>
  <c r="K3" i="14"/>
  <c r="J3" i="14"/>
  <c r="I3" i="14"/>
  <c r="H3" i="14"/>
  <c r="G3" i="14"/>
  <c r="F3" i="14"/>
  <c r="E3" i="14"/>
  <c r="E5" i="14"/>
  <c r="F5" i="14"/>
  <c r="C14" i="9"/>
  <c r="C10" i="9"/>
  <c r="C7" i="9"/>
  <c r="C2" i="9" l="1"/>
  <c r="B27" i="16" s="1"/>
  <c r="G5" i="14"/>
  <c r="H28" i="16" l="1"/>
  <c r="X28" i="16"/>
  <c r="AB28" i="16"/>
  <c r="I28" i="16"/>
  <c r="Y28" i="16"/>
  <c r="L28" i="16"/>
  <c r="J28" i="16"/>
  <c r="Z28" i="16"/>
  <c r="AA28" i="16"/>
  <c r="K28" i="16"/>
  <c r="M28" i="16"/>
  <c r="AC28" i="16"/>
  <c r="N28" i="16"/>
  <c r="AD28" i="16"/>
  <c r="O28" i="16"/>
  <c r="AE28" i="16"/>
  <c r="P28" i="16"/>
  <c r="AF28" i="16"/>
  <c r="S28" i="16"/>
  <c r="Q28" i="16"/>
  <c r="C28" i="16"/>
  <c r="R28" i="16"/>
  <c r="V28" i="16"/>
  <c r="C29" i="16"/>
  <c r="D28" i="16"/>
  <c r="T28" i="16"/>
  <c r="F28" i="16"/>
  <c r="G28" i="16"/>
  <c r="E28" i="16"/>
  <c r="U28" i="16"/>
  <c r="W28" i="16"/>
  <c r="H5" i="14"/>
  <c r="D29" i="16" l="1"/>
  <c r="W29" i="16"/>
  <c r="H29" i="16"/>
  <c r="X29" i="16"/>
  <c r="G29" i="16"/>
  <c r="AD29" i="16"/>
  <c r="S29" i="16"/>
  <c r="P29" i="16"/>
  <c r="L29" i="16"/>
  <c r="J29" i="16"/>
  <c r="M29" i="16"/>
  <c r="U29" i="16"/>
  <c r="R29" i="16"/>
  <c r="T29" i="16"/>
  <c r="AF29" i="16"/>
  <c r="E29" i="16"/>
  <c r="I29" i="16"/>
  <c r="N29" i="16"/>
  <c r="AB29" i="16"/>
  <c r="Q29" i="16"/>
  <c r="AC29" i="16"/>
  <c r="AE29" i="16"/>
  <c r="Y29" i="16"/>
  <c r="AA29" i="16"/>
  <c r="F29" i="16"/>
  <c r="Z29" i="16"/>
  <c r="V29" i="16"/>
  <c r="O29" i="16"/>
  <c r="K29" i="16"/>
  <c r="I5" i="14"/>
  <c r="K5" i="14" l="1"/>
  <c r="J5" i="14"/>
  <c r="L5" i="14" l="1"/>
</calcChain>
</file>

<file path=xl/sharedStrings.xml><?xml version="1.0" encoding="utf-8"?>
<sst xmlns="http://schemas.openxmlformats.org/spreadsheetml/2006/main" count="380" uniqueCount="130">
  <si>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</si>
  <si>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</si>
  <si>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</si>
  <si>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</si>
  <si>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</si>
  <si>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</si>
  <si>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</si>
  <si>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</si>
  <si>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</si>
  <si>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</si>
  <si>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</si>
  <si>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</si>
  <si>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ID0001_T1</t>
  </si>
  <si>
    <t>ID0001_T2</t>
  </si>
  <si>
    <t>ID0001_T3</t>
  </si>
  <si>
    <t>ID002_T1</t>
  </si>
  <si>
    <t>ID002_T2</t>
  </si>
  <si>
    <t>ID003_T1</t>
  </si>
  <si>
    <t>ID003_T2</t>
  </si>
  <si>
    <t>ID004_T1</t>
  </si>
  <si>
    <t>ID005_T1</t>
  </si>
  <si>
    <t>ID005_T2</t>
  </si>
  <si>
    <t>ID006_T1</t>
  </si>
  <si>
    <t>ID006_T2</t>
  </si>
  <si>
    <t>ID007_T1</t>
  </si>
  <si>
    <t>ID007_T2</t>
  </si>
  <si>
    <t>Imp</t>
  </si>
  <si>
    <t>Estado</t>
  </si>
  <si>
    <t>ID0008</t>
  </si>
  <si>
    <t>ID0008_T1</t>
  </si>
  <si>
    <t>ID0009</t>
  </si>
  <si>
    <t>ID0008_T2</t>
  </si>
  <si>
    <t>ID0008_T3</t>
  </si>
  <si>
    <t>ID0009_T1</t>
  </si>
  <si>
    <t>ID0009_T2</t>
  </si>
  <si>
    <t>ID0009_T3</t>
  </si>
  <si>
    <t>ID0008_T4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</si>
  <si>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</si>
  <si>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</si>
  <si>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</si>
  <si>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</si>
  <si>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</si>
  <si>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</si>
  <si>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</si>
  <si>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</si>
  <si>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</si>
  <si>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</si>
  <si>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</si>
  <si>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</si>
  <si>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</si>
  <si>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</si>
  <si>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</si>
  <si>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</si>
  <si>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</si>
  <si>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</si>
  <si>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</si>
  <si>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</si>
  <si>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</si>
  <si>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</si>
  <si>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</si>
  <si>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</si>
  <si>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</si>
  <si>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</si>
  <si>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</si>
  <si>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</si>
  <si>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</si>
  <si>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</si>
  <si>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</si>
  <si>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</si>
  <si>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visualizar estatuas de pokémons y cartas para reconocer emblemas de la saga</t>
  </si>
  <si>
    <t>Como Usuario quiero interactuar con poké balls para sentirme inmerso en la experiencia</t>
  </si>
  <si>
    <t>Como Usuario quiero disponer de botones que reproduzcan música para ambientar la experiencia</t>
  </si>
  <si>
    <t>Como Usuario quiero cada objeto escalado adecuadamente para poseer una percepción realista</t>
  </si>
  <si>
    <t>Como Usuario quiero rotar poké balls mientras se reproduce música para crear un efecto atractivo</t>
  </si>
  <si>
    <t>Como Usuario quiero iluminar estatuas, cuadros o pokéballs al acercarme para llamar mi atención</t>
  </si>
  <si>
    <t>Como Usuario quiero añadir panel interactivo con mini-quiz internacional para probar mis conocimientos</t>
  </si>
  <si>
    <t>Como Usuario quiero visualizar cuadros que contextualicen la saga para entender su evolución</t>
  </si>
  <si>
    <t>Tooltip interactivo con nombre y generación del Pokémon/carta</t>
  </si>
  <si>
    <t>Las Poké Balls emiten sonido y partículas al acercarse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</si>
  <si>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</si>
  <si>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</si>
  <si>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</si>
  <si>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</si>
  <si>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</si>
  <si>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Tooltip interactivo con descripciones</t>
  </si>
  <si>
    <t>Botones ubicados en zonas estratégicas</t>
  </si>
  <si>
    <t>Funcionalidad Play/Pause y control de volumen</t>
  </si>
  <si>
    <t>Luces se encienden al acercarse a estatuas, cuadros o Poké Balls</t>
  </si>
  <si>
    <t>Efecto de atenuación (fade-in/fade-out)</t>
  </si>
  <si>
    <t>Las Poké Balls rotan automáticamente al reproducirse música</t>
  </si>
  <si>
    <t>Velocidad de rotación sincronizada con el tempo</t>
  </si>
  <si>
    <t>Efecto opcional de "flotar" en el aire</t>
  </si>
  <si>
    <t>Estatuas (Pikachu, Charmander, Bulbasaur y Squirtle) y cartas se muestran en zonas designadas del museo</t>
  </si>
  <si>
    <t>Sistema de localización/internacionalización</t>
  </si>
  <si>
    <t>Feedback visual y sistema de puntuación</t>
  </si>
  <si>
    <t>Base de datos local y gestión de contenido</t>
  </si>
  <si>
    <t>Sistema de 4 preguntas basado en siluetas de Pokémon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</si>
  <si>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</si>
  <si>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</si>
  <si>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</si>
  <si>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</si>
  <si>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Como Usuario quiero que modelos 3D se carguen desde repositorio público de GitHub</t>
  </si>
  <si>
    <t>Integración en Unity</t>
  </si>
  <si>
    <t>Configurar la carga de modelos desde GitHub</t>
  </si>
  <si>
    <t>Gestión de errores y pruebas</t>
  </si>
  <si>
    <t>Obtener feedback para el siguiente sprint</t>
  </si>
  <si>
    <t>Como Usuario quiero que modelos 3D se carguen desde GitHub para integrarlos en el proyecto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</si>
  <si>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</si>
  <si>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</si>
  <si>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</si>
  <si>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</si>
  <si>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</si>
  <si>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</si>
  <si>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</si>
  <si>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</si>
  <si>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</si>
  <si>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>ID008_T1</t>
  </si>
  <si>
    <t>ID008_T2</t>
  </si>
  <si>
    <t>ID008_T3</t>
  </si>
  <si>
    <t>ID008_T4</t>
  </si>
  <si>
    <t>ID009_T1</t>
  </si>
  <si>
    <t>ID009_T2</t>
  </si>
  <si>
    <t>ID009_T3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</si>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</sst>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3" fillId="6" borderId="24" xfId="0" applyFont="1" applyFill="1" applyBorder="1" applyAlignment="1">
      <alignment horizontal="center" vertical="center" wrapText="1"/>
    </xf>
    <xf numFmtId="0" fontId="14" fillId="0" borderId="0" xfId="0" applyFont="1" applyAlignment="1">
      <alignment wrapText="1"/>
    </xf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0" xfId="0" quotePrefix="1" applyAlignment="1">
      <alignment horizontal="left" wrapText="1"/>
    </xf>
    <xf numFmtId="0" fontId="0" fillId="0" borderId="14" xfId="0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166" fontId="3" fillId="6" borderId="30" xfId="0" applyNumberFormat="1" applyFont="1" applyFill="1" applyBorder="1" applyAlignment="1">
      <alignment horizontal="center" vertical="center" wrapText="1"/>
    </xf>
    <xf numFmtId="166" fontId="3" fillId="6" borderId="0" xfId="0" applyNumberFormat="1" applyFont="1" applyFill="1" applyAlignment="1">
      <alignment horizontal="center" vertical="center" wrapText="1"/>
    </xf>
    <xf numFmtId="0" fontId="3" fillId="6" borderId="30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4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Burns!$C$27:$AF$27</c:f>
              <c:numCache>
                <c:formatCode>[$-C0A]d\-mmm;@</c:formatCode>
                <c:ptCount val="3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  <c:pt idx="10">
                  <c:v>42292</c:v>
                </c:pt>
                <c:pt idx="11">
                  <c:v>42293</c:v>
                </c:pt>
                <c:pt idx="12">
                  <c:v>42294</c:v>
                </c:pt>
                <c:pt idx="13">
                  <c:v>42295</c:v>
                </c:pt>
                <c:pt idx="14">
                  <c:v>42296</c:v>
                </c:pt>
                <c:pt idx="15">
                  <c:v>42297</c:v>
                </c:pt>
                <c:pt idx="16">
                  <c:v>42298</c:v>
                </c:pt>
                <c:pt idx="17">
                  <c:v>42299</c:v>
                </c:pt>
                <c:pt idx="18">
                  <c:v>42300</c:v>
                </c:pt>
                <c:pt idx="19">
                  <c:v>42301</c:v>
                </c:pt>
                <c:pt idx="20">
                  <c:v>42302</c:v>
                </c:pt>
                <c:pt idx="21">
                  <c:v>42303</c:v>
                </c:pt>
                <c:pt idx="22">
                  <c:v>42304</c:v>
                </c:pt>
                <c:pt idx="23">
                  <c:v>42305</c:v>
                </c:pt>
                <c:pt idx="24">
                  <c:v>42306</c:v>
                </c:pt>
                <c:pt idx="25">
                  <c:v>42307</c:v>
                </c:pt>
                <c:pt idx="26">
                  <c:v>42308</c:v>
                </c:pt>
                <c:pt idx="27">
                  <c:v>42309</c:v>
                </c:pt>
                <c:pt idx="28">
                  <c:v>42310</c:v>
                </c:pt>
                <c:pt idx="29">
                  <c:v>42311</c:v>
                </c:pt>
              </c:numCache>
            </c:numRef>
          </c:cat>
          <c:val>
            <c:numRef>
              <c:f>Burns!$C$29:$AF$29</c:f>
              <c:numCache>
                <c:formatCode>General</c:formatCode>
                <c:ptCount val="30"/>
                <c:pt idx="0">
                  <c:v>23</c:v>
                </c:pt>
                <c:pt idx="1">
                  <c:v>21.466666666666665</c:v>
                </c:pt>
                <c:pt idx="2">
                  <c:v>20.7</c:v>
                </c:pt>
                <c:pt idx="3">
                  <c:v>19.933333333333334</c:v>
                </c:pt>
                <c:pt idx="4">
                  <c:v>19.166666666666668</c:v>
                </c:pt>
                <c:pt idx="5">
                  <c:v>18.399999999999999</c:v>
                </c:pt>
                <c:pt idx="6">
                  <c:v>17.633333333333333</c:v>
                </c:pt>
                <c:pt idx="7">
                  <c:v>16.866666666666667</c:v>
                </c:pt>
                <c:pt idx="8">
                  <c:v>16.100000000000001</c:v>
                </c:pt>
                <c:pt idx="9">
                  <c:v>15.333333333333332</c:v>
                </c:pt>
                <c:pt idx="10">
                  <c:v>14.566666666666666</c:v>
                </c:pt>
                <c:pt idx="11">
                  <c:v>13.799999999999999</c:v>
                </c:pt>
                <c:pt idx="12">
                  <c:v>13.033333333333331</c:v>
                </c:pt>
                <c:pt idx="13">
                  <c:v>12.266666666666664</c:v>
                </c:pt>
                <c:pt idx="14">
                  <c:v>11.499999999999996</c:v>
                </c:pt>
                <c:pt idx="15">
                  <c:v>10.733333333333329</c:v>
                </c:pt>
                <c:pt idx="16">
                  <c:v>9.9666666666666615</c:v>
                </c:pt>
                <c:pt idx="17">
                  <c:v>9.199999999999994</c:v>
                </c:pt>
                <c:pt idx="18">
                  <c:v>8.4333333333333265</c:v>
                </c:pt>
                <c:pt idx="19">
                  <c:v>7.666666666666659</c:v>
                </c:pt>
                <c:pt idx="20">
                  <c:v>6.8999999999999915</c:v>
                </c:pt>
                <c:pt idx="21">
                  <c:v>6.1333333333333258</c:v>
                </c:pt>
                <c:pt idx="22">
                  <c:v>5.36666666666666</c:v>
                </c:pt>
                <c:pt idx="23">
                  <c:v>4.5999999999999943</c:v>
                </c:pt>
                <c:pt idx="24">
                  <c:v>3.8333333333333286</c:v>
                </c:pt>
                <c:pt idx="25">
                  <c:v>3.0666666666666629</c:v>
                </c:pt>
                <c:pt idx="26">
                  <c:v>2.2999999999999972</c:v>
                </c:pt>
                <c:pt idx="27">
                  <c:v>1.5333333333333314</c:v>
                </c:pt>
                <c:pt idx="28">
                  <c:v>0.76666666666666572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Burns!$C$27:$AF$27</c:f>
              <c:numCache>
                <c:formatCode>[$-C0A]d\-mmm;@</c:formatCode>
                <c:ptCount val="3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  <c:pt idx="10">
                  <c:v>42292</c:v>
                </c:pt>
                <c:pt idx="11">
                  <c:v>42293</c:v>
                </c:pt>
                <c:pt idx="12">
                  <c:v>42294</c:v>
                </c:pt>
                <c:pt idx="13">
                  <c:v>42295</c:v>
                </c:pt>
                <c:pt idx="14">
                  <c:v>42296</c:v>
                </c:pt>
                <c:pt idx="15">
                  <c:v>42297</c:v>
                </c:pt>
                <c:pt idx="16">
                  <c:v>42298</c:v>
                </c:pt>
                <c:pt idx="17">
                  <c:v>42299</c:v>
                </c:pt>
                <c:pt idx="18">
                  <c:v>42300</c:v>
                </c:pt>
                <c:pt idx="19">
                  <c:v>42301</c:v>
                </c:pt>
                <c:pt idx="20">
                  <c:v>42302</c:v>
                </c:pt>
                <c:pt idx="21">
                  <c:v>42303</c:v>
                </c:pt>
                <c:pt idx="22">
                  <c:v>42304</c:v>
                </c:pt>
                <c:pt idx="23">
                  <c:v>42305</c:v>
                </c:pt>
                <c:pt idx="24">
                  <c:v>42306</c:v>
                </c:pt>
                <c:pt idx="25">
                  <c:v>42307</c:v>
                </c:pt>
                <c:pt idx="26">
                  <c:v>42308</c:v>
                </c:pt>
                <c:pt idx="27">
                  <c:v>42309</c:v>
                </c:pt>
                <c:pt idx="28">
                  <c:v>42310</c:v>
                </c:pt>
                <c:pt idx="29">
                  <c:v>42311</c:v>
                </c:pt>
              </c:numCache>
            </c:numRef>
          </c:cat>
          <c:val>
            <c:numRef>
              <c:f>'Diario-Restante'!$E$7:$BC$7</c:f>
              <c:numCache>
                <c:formatCode>0.0</c:formatCode>
                <c:ptCount val="51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45</c:v>
                </c:pt>
                <c:pt idx="18">
                  <c:v>41</c:v>
                </c:pt>
                <c:pt idx="19">
                  <c:v>39</c:v>
                </c:pt>
                <c:pt idx="20">
                  <c:v>33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35</c:v>
                </c:pt>
                <c:pt idx="26">
                  <c:v>35</c:v>
                </c:pt>
                <c:pt idx="27">
                  <c:v>29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Burns!$C$27:$L$27</c:f>
              <c:numCache>
                <c:formatCode>[$-C0A]d\-mmm;@</c:formatCode>
                <c:ptCount val="1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</c:numCache>
            </c:numRef>
          </c:cat>
          <c:val>
            <c:numRef>
              <c:f>'Diario-Realizado'!$E$6:$N$6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10</xdr:col>
      <xdr:colOff>666750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zoomScaleNormal="100" workbookViewId="0"/>
  </sheetViews>
  <sheetFormatPr baseColWidth="10" defaultRowHeight="14.4" x14ac:dyDescent="0.3"/>
  <cols>
    <col min="3" max="3" width="20.33203125" bestFit="1" customWidth="1"/>
    <col min="4" max="4" width="17.109375" customWidth="1"/>
    <col min="5" max="5" width="15.109375" customWidth="1"/>
    <col min="6" max="6" width="14.44140625" customWidth="1"/>
    <col min="11" max="11" width="50.6640625" customWidth="1"/>
  </cols>
  <sheetData>
    <row r="2" spans="1:11" ht="21" x14ac:dyDescent="0.4">
      <c r="B2" s="57" t="s">
        <v>97</v>
      </c>
      <c r="C2" s="58"/>
      <c r="D2" s="58"/>
      <c r="E2" s="59"/>
    </row>
    <row r="3" spans="1:11" ht="15" thickBot="1" x14ac:dyDescent="0.35">
      <c r="A3" s="13"/>
      <c r="B3" s="14"/>
    </row>
    <row r="4" spans="1:11" ht="18.600000000000001" thickBot="1" x14ac:dyDescent="0.35">
      <c r="A4" s="13"/>
      <c r="B4" s="103" t="s">
        <v>53</v>
      </c>
      <c r="C4" s="104"/>
    </row>
    <row r="5" spans="1:11" ht="15" thickBot="1" x14ac:dyDescent="0.35">
      <c r="A5" s="13"/>
      <c r="B5" s="53" t="s">
        <v>1</v>
      </c>
      <c r="C5" s="56" t="s">
        <v>37</v>
      </c>
      <c r="D5" s="55" t="s">
        <v>41</v>
      </c>
      <c r="E5" s="55"/>
      <c r="F5" s="55"/>
      <c r="G5" s="55"/>
      <c r="H5" s="55"/>
      <c r="I5" s="55"/>
      <c r="J5" s="55"/>
      <c r="K5" s="54"/>
    </row>
    <row r="6" spans="1:11" x14ac:dyDescent="0.3">
      <c r="A6" s="13"/>
      <c r="B6" s="62" t="s">
        <v>66</v>
      </c>
      <c r="C6" s="61" t="s">
        <v>63</v>
      </c>
      <c r="D6" s="61"/>
      <c r="E6" s="61"/>
      <c r="F6" s="61"/>
      <c r="G6" s="61"/>
      <c r="H6" s="61"/>
      <c r="I6" s="61"/>
      <c r="J6" s="61"/>
      <c r="K6" s="63"/>
    </row>
    <row r="7" spans="1:11" x14ac:dyDescent="0.3">
      <c r="A7" s="13"/>
      <c r="B7" s="64" t="s">
        <v>65</v>
      </c>
      <c r="C7" s="60" t="s">
        <v>54</v>
      </c>
      <c r="D7" s="60"/>
      <c r="E7" s="60"/>
      <c r="F7" s="60"/>
      <c r="G7" s="60"/>
      <c r="H7" s="60"/>
      <c r="I7" s="60"/>
      <c r="J7" s="60"/>
      <c r="K7" s="65"/>
    </row>
    <row r="8" spans="1:11" x14ac:dyDescent="0.3">
      <c r="A8" s="13"/>
      <c r="B8" s="69" t="s">
        <v>66</v>
      </c>
      <c r="C8" s="70" t="s">
        <v>55</v>
      </c>
      <c r="D8" s="70"/>
      <c r="E8" s="70"/>
      <c r="F8" s="70"/>
      <c r="G8" s="70"/>
      <c r="H8" s="70"/>
      <c r="I8" s="70"/>
      <c r="J8" s="70"/>
      <c r="K8" s="71"/>
    </row>
    <row r="9" spans="1:11" x14ac:dyDescent="0.3">
      <c r="A9" s="13"/>
      <c r="B9" s="69" t="s">
        <v>67</v>
      </c>
      <c r="C9" s="70" t="s">
        <v>55</v>
      </c>
      <c r="D9" s="70"/>
      <c r="E9" s="70"/>
      <c r="F9" s="70"/>
      <c r="G9" s="70"/>
      <c r="H9" s="70"/>
      <c r="I9" s="70"/>
      <c r="J9" s="70"/>
      <c r="K9" s="71"/>
    </row>
    <row r="10" spans="1:11" ht="15" thickBot="1" x14ac:dyDescent="0.35">
      <c r="A10" s="13"/>
      <c r="B10" s="66" t="s">
        <v>65</v>
      </c>
      <c r="C10" s="67" t="s">
        <v>55</v>
      </c>
      <c r="D10" s="67"/>
      <c r="E10" s="67"/>
      <c r="F10" s="67"/>
      <c r="G10" s="67"/>
      <c r="H10" s="67"/>
      <c r="I10" s="67"/>
      <c r="J10" s="67"/>
      <c r="K10" s="68"/>
    </row>
    <row r="11" spans="1:11" ht="15" thickBot="1" x14ac:dyDescent="0.35">
      <c r="A11" s="15"/>
    </row>
    <row r="12" spans="1:11" ht="18.600000000000001" thickBot="1" x14ac:dyDescent="0.35">
      <c r="A12" s="13"/>
      <c r="B12" s="103" t="s">
        <v>52</v>
      </c>
      <c r="C12" s="104"/>
    </row>
    <row r="13" spans="1:11" x14ac:dyDescent="0.3">
      <c r="A13" s="13"/>
      <c r="B13" s="52" t="s">
        <v>8</v>
      </c>
      <c r="C13" s="76" t="s">
        <v>38</v>
      </c>
      <c r="D13" s="76" t="s">
        <v>39</v>
      </c>
      <c r="E13" s="76" t="s">
        <v>57</v>
      </c>
      <c r="F13" s="77" t="s">
        <v>61</v>
      </c>
      <c r="G13" s="77"/>
      <c r="H13" s="77"/>
      <c r="I13" s="77"/>
      <c r="J13" s="77"/>
      <c r="K13" s="76" t="s">
        <v>62</v>
      </c>
    </row>
    <row r="14" spans="1:11" x14ac:dyDescent="0.3">
      <c r="A14" s="13"/>
      <c r="B14" s="79" t="s">
        <v>40</v>
      </c>
      <c r="C14" s="78">
        <v>45957</v>
      </c>
      <c r="D14" s="78">
        <v>45964</v>
      </c>
      <c r="E14" s="91">
        <f>21/28</f>
        <v>0.75</v>
      </c>
      <c r="F14" s="108" t="s">
        <v>98</v>
      </c>
      <c r="G14" s="109"/>
      <c r="H14" s="109"/>
      <c r="I14" s="109"/>
      <c r="J14" s="110"/>
      <c r="K14" s="92" t="s">
        <v>105</v>
      </c>
    </row>
    <row r="15" spans="1:11" ht="15" thickBot="1" x14ac:dyDescent="0.35">
      <c r="A15" s="13"/>
      <c r="B15" s="80" t="s">
        <v>68</v>
      </c>
      <c r="C15" s="81">
        <v>45985</v>
      </c>
      <c r="D15" s="82" t="s">
        <v>64</v>
      </c>
      <c r="E15" s="82" t="s">
        <v>64</v>
      </c>
      <c r="F15" s="111" t="s">
        <v>99</v>
      </c>
      <c r="G15" s="112"/>
      <c r="H15" s="112"/>
      <c r="I15" s="112"/>
      <c r="J15" s="113"/>
      <c r="K15" s="83"/>
    </row>
    <row r="16" spans="1:11" x14ac:dyDescent="0.3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" thickBot="1" x14ac:dyDescent="0.35">
      <c r="A17" s="13"/>
    </row>
    <row r="18" spans="1:11" ht="18.600000000000001" thickBot="1" x14ac:dyDescent="0.35">
      <c r="B18" s="105" t="s">
        <v>56</v>
      </c>
      <c r="C18" s="106"/>
      <c r="D18" s="107"/>
    </row>
    <row r="19" spans="1:11" ht="15" thickBot="1" x14ac:dyDescent="0.35">
      <c r="B19" s="86" t="s">
        <v>100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0"/>
  <sheetViews>
    <sheetView zoomScaleNormal="100" workbookViewId="0">
      <selection activeCell="G5" sqref="G5"/>
    </sheetView>
  </sheetViews>
  <sheetFormatPr baseColWidth="10" defaultColWidth="11.44140625" defaultRowHeight="14.4" x14ac:dyDescent="0.3"/>
  <cols>
    <col min="1" max="1" width="11.88671875" style="1" bestFit="1" customWidth="1"/>
    <col min="2" max="2" width="90.88671875" style="1" bestFit="1" customWidth="1"/>
    <col min="3" max="3" width="10.88671875" style="2" bestFit="1" customWidth="1"/>
    <col min="4" max="5" width="11.44140625" style="2" customWidth="1"/>
    <col min="6" max="6" width="14.44140625" style="2" customWidth="1"/>
    <col min="7" max="7" width="12.6640625" style="1" customWidth="1"/>
    <col min="8" max="8" width="164" style="1" bestFit="1" customWidth="1"/>
    <col min="9" max="16384" width="11.44140625" style="1"/>
  </cols>
  <sheetData>
    <row r="1" spans="1:8" s="6" customFormat="1" ht="18" x14ac:dyDescent="0.3">
      <c r="A1" s="5" t="s">
        <v>0</v>
      </c>
      <c r="B1" s="5" t="s">
        <v>1</v>
      </c>
      <c r="C1" s="5" t="s">
        <v>26</v>
      </c>
      <c r="D1" s="5" t="s">
        <v>8</v>
      </c>
      <c r="E1" s="5" t="s">
        <v>2</v>
      </c>
      <c r="F1" s="5" t="s">
        <v>42</v>
      </c>
      <c r="G1" s="9" t="s">
        <v>27</v>
      </c>
      <c r="H1" s="10" t="s">
        <v>3</v>
      </c>
    </row>
    <row r="2" spans="1:8" s="22" customFormat="1" ht="18" x14ac:dyDescent="0.3">
      <c r="A2" s="20"/>
      <c r="B2" s="20"/>
      <c r="C2" s="20">
        <f>ROUND(AVERAGE(C3:C6), 0)</f>
        <v>85</v>
      </c>
      <c r="D2" s="20">
        <f>1</f>
        <v>1</v>
      </c>
      <c r="E2" s="20">
        <f>SUM(E3:E6)</f>
        <v>23</v>
      </c>
      <c r="F2" s="20">
        <f>SUM(F3:F6)</f>
        <v>32</v>
      </c>
      <c r="G2" s="99">
        <f>COUNTIF(G3:G6,"finished")/COUNTIF(G3:G6,"&lt;&gt;"&amp;"")</f>
        <v>0.5</v>
      </c>
      <c r="H2" s="21"/>
    </row>
    <row r="3" spans="1:8" x14ac:dyDescent="0.3">
      <c r="A3" s="93" t="s">
        <v>4</v>
      </c>
      <c r="B3" s="7" t="s">
        <v>106</v>
      </c>
      <c r="C3" s="8">
        <v>100</v>
      </c>
      <c r="D3" s="8">
        <v>1</v>
      </c>
      <c r="E3" s="8">
        <v>10</v>
      </c>
      <c r="F3" s="8">
        <f>SUM('Diario-Realizado'!D10:D12)</f>
        <v>12</v>
      </c>
      <c r="G3" s="2" t="s">
        <v>107</v>
      </c>
      <c r="H3" s="3" t="s">
        <v>111</v>
      </c>
    </row>
    <row r="4" spans="1:8" x14ac:dyDescent="0.3">
      <c r="A4" s="94" t="s">
        <v>5</v>
      </c>
      <c r="B4" s="7" t="s">
        <v>69</v>
      </c>
      <c r="C4" s="8">
        <v>90</v>
      </c>
      <c r="D4" s="8">
        <v>1</v>
      </c>
      <c r="E4" s="8">
        <v>6</v>
      </c>
      <c r="F4" s="8">
        <f>SUM('Diario-Realizado'!D13:D14)</f>
        <v>10</v>
      </c>
      <c r="G4" s="97" t="s">
        <v>108</v>
      </c>
      <c r="H4" s="7" t="s">
        <v>109</v>
      </c>
    </row>
    <row r="5" spans="1:8" x14ac:dyDescent="0.3">
      <c r="A5" s="94" t="s">
        <v>6</v>
      </c>
      <c r="B5" s="7" t="s">
        <v>70</v>
      </c>
      <c r="C5" s="8">
        <v>80</v>
      </c>
      <c r="D5" s="8">
        <v>1</v>
      </c>
      <c r="E5" s="8">
        <v>5</v>
      </c>
      <c r="F5" s="8">
        <f>SUM('Diario-Realizado'!D15:D17)</f>
        <v>8</v>
      </c>
      <c r="G5" s="98" t="s">
        <v>108</v>
      </c>
      <c r="H5" s="7" t="s">
        <v>109</v>
      </c>
    </row>
    <row r="6" spans="1:8" x14ac:dyDescent="0.3">
      <c r="A6" s="93" t="s">
        <v>7</v>
      </c>
      <c r="B6" s="7" t="s">
        <v>72</v>
      </c>
      <c r="C6" s="8">
        <v>70</v>
      </c>
      <c r="D6" s="8">
        <v>1</v>
      </c>
      <c r="E6" s="8">
        <v>2</v>
      </c>
      <c r="F6" s="8">
        <f>SUM('Diario-Realizado'!D18)</f>
        <v>2</v>
      </c>
      <c r="G6" s="98" t="s">
        <v>107</v>
      </c>
      <c r="H6" s="7"/>
    </row>
    <row r="7" spans="1:8" ht="18" x14ac:dyDescent="0.35">
      <c r="A7" s="84"/>
      <c r="B7" s="84"/>
      <c r="C7" s="85">
        <f>ROUND(AVERAGE(C8:C12), 0)</f>
        <v>46</v>
      </c>
      <c r="D7" s="85">
        <v>2</v>
      </c>
      <c r="E7" s="85">
        <f>SUM(E8:E12)</f>
        <v>26</v>
      </c>
      <c r="F7" s="85">
        <f>SUM(F8:F12)</f>
        <v>0</v>
      </c>
      <c r="G7" s="100">
        <f>COUNTIF(G8:G12,"finished")/COUNTIF(G8:G12,"&lt;&gt;"&amp;"")</f>
        <v>0</v>
      </c>
      <c r="H7" s="84"/>
    </row>
    <row r="8" spans="1:8" x14ac:dyDescent="0.3">
      <c r="A8" s="95" t="s">
        <v>10</v>
      </c>
      <c r="B8" s="7" t="s">
        <v>76</v>
      </c>
      <c r="C8" s="8">
        <v>80</v>
      </c>
      <c r="D8" s="8">
        <v>2</v>
      </c>
      <c r="E8" s="8">
        <v>6</v>
      </c>
      <c r="F8" s="8"/>
      <c r="G8" s="98" t="s">
        <v>108</v>
      </c>
      <c r="H8" s="7"/>
    </row>
    <row r="9" spans="1:8" x14ac:dyDescent="0.3">
      <c r="A9" s="95" t="s">
        <v>9</v>
      </c>
      <c r="B9" s="7" t="s">
        <v>71</v>
      </c>
      <c r="C9" s="8">
        <v>60</v>
      </c>
      <c r="D9" s="8">
        <v>2</v>
      </c>
      <c r="E9" s="8">
        <v>4</v>
      </c>
      <c r="F9" s="74"/>
      <c r="G9" s="98" t="s">
        <v>108</v>
      </c>
      <c r="H9" s="73"/>
    </row>
    <row r="10" spans="1:8" x14ac:dyDescent="0.3">
      <c r="A10" s="95" t="s">
        <v>11</v>
      </c>
      <c r="B10" s="7" t="s">
        <v>74</v>
      </c>
      <c r="C10" s="8">
        <v>40</v>
      </c>
      <c r="D10" s="8">
        <v>2</v>
      </c>
      <c r="E10" s="8">
        <v>4</v>
      </c>
      <c r="F10" s="8"/>
      <c r="G10" s="98" t="s">
        <v>108</v>
      </c>
      <c r="H10" s="7"/>
    </row>
    <row r="11" spans="1:8" x14ac:dyDescent="0.3">
      <c r="A11" s="95" t="s">
        <v>28</v>
      </c>
      <c r="B11" s="7" t="s">
        <v>75</v>
      </c>
      <c r="C11" s="8">
        <v>30</v>
      </c>
      <c r="D11" s="8">
        <v>2</v>
      </c>
      <c r="E11" s="8">
        <v>10</v>
      </c>
      <c r="F11" s="8"/>
      <c r="G11" s="98" t="s">
        <v>108</v>
      </c>
      <c r="H11" s="7"/>
    </row>
    <row r="12" spans="1:8" x14ac:dyDescent="0.3">
      <c r="A12" s="96" t="s">
        <v>30</v>
      </c>
      <c r="B12" s="73" t="s">
        <v>73</v>
      </c>
      <c r="C12" s="74">
        <v>20</v>
      </c>
      <c r="D12" s="74">
        <v>2</v>
      </c>
      <c r="E12" s="74">
        <v>2</v>
      </c>
      <c r="F12" s="74"/>
      <c r="G12" s="74" t="s">
        <v>108</v>
      </c>
      <c r="H12" s="73"/>
    </row>
    <row r="20" spans="1:3" x14ac:dyDescent="0.3">
      <c r="A20" s="16"/>
    </row>
    <row r="21" spans="1:3" x14ac:dyDescent="0.3">
      <c r="A21" s="17"/>
    </row>
    <row r="22" spans="1:3" x14ac:dyDescent="0.3">
      <c r="A22" s="17"/>
    </row>
    <row r="23" spans="1:3" x14ac:dyDescent="0.3">
      <c r="A23" s="17"/>
    </row>
    <row r="25" spans="1:3" x14ac:dyDescent="0.3">
      <c r="A25" s="18"/>
    </row>
    <row r="26" spans="1:3" x14ac:dyDescent="0.3">
      <c r="A26" s="18"/>
      <c r="C26" s="4"/>
    </row>
    <row r="29" spans="1:3" x14ac:dyDescent="0.3">
      <c r="B29" s="19"/>
    </row>
    <row r="30" spans="1:3" x14ac:dyDescent="0.3">
      <c r="B30" s="19"/>
    </row>
  </sheetData>
  <autoFilter ref="A1:D16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tabSelected="1" zoomScale="85" zoomScaleNormal="85" workbookViewId="0">
      <selection activeCell="A16" sqref="A16:D24"/>
    </sheetView>
  </sheetViews>
  <sheetFormatPr baseColWidth="10" defaultColWidth="11.44140625" defaultRowHeight="14.4" x14ac:dyDescent="0.3"/>
  <cols>
    <col min="1" max="1" width="12.33203125" style="1" customWidth="1"/>
    <col min="2" max="2" width="100.664062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SUM(C3,C7,C10,C14,C16,C19,C22,C25,C30)</f>
        <v>23</v>
      </c>
      <c r="D2" s="27"/>
      <c r="E2" s="39"/>
    </row>
    <row r="3" spans="1:5" x14ac:dyDescent="0.3">
      <c r="A3" s="11" t="s">
        <v>4</v>
      </c>
      <c r="B3" s="11" t="s">
        <v>101</v>
      </c>
      <c r="C3" s="12">
        <f>SUM(C4:C6)</f>
        <v>10</v>
      </c>
      <c r="D3" s="11"/>
    </row>
    <row r="4" spans="1:5" x14ac:dyDescent="0.3">
      <c r="A4" s="1" t="s">
        <v>12</v>
      </c>
      <c r="B4" s="1" t="s">
        <v>103</v>
      </c>
      <c r="C4" s="2">
        <v>4</v>
      </c>
    </row>
    <row r="5" spans="1:5" x14ac:dyDescent="0.3">
      <c r="A5" s="1" t="s">
        <v>13</v>
      </c>
      <c r="B5" s="1" t="s">
        <v>102</v>
      </c>
      <c r="C5" s="2">
        <v>4</v>
      </c>
      <c r="D5" s="1" t="s">
        <v>110</v>
      </c>
    </row>
    <row r="6" spans="1:5" x14ac:dyDescent="0.3">
      <c r="A6" s="1" t="s">
        <v>14</v>
      </c>
      <c r="B6" s="1" t="s">
        <v>104</v>
      </c>
      <c r="C6" s="2">
        <v>2</v>
      </c>
      <c r="D6" s="1" t="s">
        <v>112</v>
      </c>
    </row>
    <row r="7" spans="1:5" x14ac:dyDescent="0.3">
      <c r="A7" s="11" t="s">
        <v>5</v>
      </c>
      <c r="B7" s="11" t="s">
        <v>69</v>
      </c>
      <c r="C7" s="12">
        <f>SUM(C8:C9)</f>
        <v>6</v>
      </c>
      <c r="D7" s="11"/>
    </row>
    <row r="8" spans="1:5" ht="15" customHeight="1" x14ac:dyDescent="0.3">
      <c r="A8" s="1" t="s">
        <v>15</v>
      </c>
      <c r="B8" s="1" t="s">
        <v>92</v>
      </c>
      <c r="C8" s="2">
        <v>4</v>
      </c>
    </row>
    <row r="9" spans="1:5" x14ac:dyDescent="0.3">
      <c r="A9" s="1" t="s">
        <v>16</v>
      </c>
      <c r="B9" s="1" t="s">
        <v>77</v>
      </c>
      <c r="C9" s="2">
        <v>2</v>
      </c>
    </row>
    <row r="10" spans="1:5" x14ac:dyDescent="0.3">
      <c r="A10" s="11" t="s">
        <v>6</v>
      </c>
      <c r="B10" s="11" t="s">
        <v>70</v>
      </c>
      <c r="C10" s="12">
        <f>SUM(C11:C13)</f>
        <v>5</v>
      </c>
      <c r="D10" s="11"/>
    </row>
    <row r="11" spans="1:5" x14ac:dyDescent="0.3">
      <c r="A11" s="1" t="s">
        <v>17</v>
      </c>
      <c r="B11" s="1" t="s">
        <v>81</v>
      </c>
      <c r="C11" s="2">
        <v>2</v>
      </c>
    </row>
    <row r="12" spans="1:5" x14ac:dyDescent="0.3">
      <c r="A12" s="1" t="s">
        <v>18</v>
      </c>
      <c r="B12" s="1" t="s">
        <v>78</v>
      </c>
      <c r="C12" s="2">
        <v>1</v>
      </c>
    </row>
    <row r="13" spans="1:5" x14ac:dyDescent="0.3">
      <c r="A13" s="1" t="s">
        <v>79</v>
      </c>
      <c r="B13" s="1" t="s">
        <v>80</v>
      </c>
      <c r="C13" s="2">
        <v>2</v>
      </c>
    </row>
    <row r="14" spans="1:5" x14ac:dyDescent="0.3">
      <c r="A14" s="11" t="s">
        <v>7</v>
      </c>
      <c r="B14" s="11" t="s">
        <v>72</v>
      </c>
      <c r="C14" s="12">
        <f>SUM(C15:C15)</f>
        <v>2</v>
      </c>
      <c r="D14" s="11"/>
    </row>
    <row r="15" spans="1:5" x14ac:dyDescent="0.3">
      <c r="A15" s="1" t="s">
        <v>19</v>
      </c>
      <c r="B15" s="1" t="s">
        <v>82</v>
      </c>
      <c r="C15" s="2">
        <v>2</v>
      </c>
    </row>
    <row r="16" spans="1:5" x14ac:dyDescent="0.3">
      <c r="A16" s="11" t="s">
        <v>10</v>
      </c>
      <c r="B16" s="11" t="s">
        <v>76</v>
      </c>
      <c r="C16" s="12" t="s">
        <v>64</v>
      </c>
      <c r="D16" s="11"/>
    </row>
    <row r="17" spans="1:4" x14ac:dyDescent="0.3">
      <c r="A17" s="1" t="s">
        <v>20</v>
      </c>
      <c r="B17" s="1" t="s">
        <v>83</v>
      </c>
    </row>
    <row r="18" spans="1:4" x14ac:dyDescent="0.3">
      <c r="A18" s="1" t="s">
        <v>21</v>
      </c>
      <c r="B18" s="1" t="s">
        <v>84</v>
      </c>
    </row>
    <row r="19" spans="1:4" x14ac:dyDescent="0.3">
      <c r="A19" s="11" t="s">
        <v>9</v>
      </c>
      <c r="B19" s="11" t="s">
        <v>71</v>
      </c>
      <c r="C19" s="12" t="s">
        <v>64</v>
      </c>
      <c r="D19" s="11"/>
    </row>
    <row r="20" spans="1:4" x14ac:dyDescent="0.3">
      <c r="A20" s="1" t="s">
        <v>22</v>
      </c>
      <c r="B20" s="1" t="s">
        <v>85</v>
      </c>
    </row>
    <row r="21" spans="1:4" x14ac:dyDescent="0.3">
      <c r="A21" s="1" t="s">
        <v>23</v>
      </c>
      <c r="B21" s="1" t="s">
        <v>86</v>
      </c>
    </row>
    <row r="22" spans="1:4" x14ac:dyDescent="0.3">
      <c r="A22" s="11" t="s">
        <v>11</v>
      </c>
      <c r="B22" s="11" t="s">
        <v>74</v>
      </c>
      <c r="C22" s="12" t="s">
        <v>64</v>
      </c>
      <c r="D22" s="11"/>
    </row>
    <row r="23" spans="1:4" x14ac:dyDescent="0.3">
      <c r="A23" s="1" t="s">
        <v>24</v>
      </c>
      <c r="B23" s="1" t="s">
        <v>87</v>
      </c>
    </row>
    <row r="24" spans="1:4" x14ac:dyDescent="0.3">
      <c r="A24" s="1" t="s">
        <v>25</v>
      </c>
      <c r="B24" s="1" t="s">
        <v>88</v>
      </c>
    </row>
    <row r="25" spans="1:4" ht="15" customHeight="1" x14ac:dyDescent="0.3">
      <c r="A25" s="11" t="s">
        <v>28</v>
      </c>
      <c r="B25" s="11" t="s">
        <v>75</v>
      </c>
      <c r="C25" s="12" t="s">
        <v>64</v>
      </c>
      <c r="D25" s="11"/>
    </row>
    <row r="26" spans="1:4" x14ac:dyDescent="0.3">
      <c r="A26" s="1" t="s">
        <v>29</v>
      </c>
      <c r="B26" s="1" t="s">
        <v>96</v>
      </c>
    </row>
    <row r="27" spans="1:4" x14ac:dyDescent="0.3">
      <c r="A27" s="1" t="s">
        <v>31</v>
      </c>
      <c r="B27" s="1" t="s">
        <v>93</v>
      </c>
    </row>
    <row r="28" spans="1:4" x14ac:dyDescent="0.3">
      <c r="A28" s="1" t="s">
        <v>32</v>
      </c>
      <c r="B28" s="1" t="s">
        <v>94</v>
      </c>
    </row>
    <row r="29" spans="1:4" x14ac:dyDescent="0.3">
      <c r="A29" s="1" t="s">
        <v>36</v>
      </c>
      <c r="B29" s="1" t="s">
        <v>95</v>
      </c>
    </row>
    <row r="30" spans="1:4" x14ac:dyDescent="0.3">
      <c r="A30" s="11" t="s">
        <v>30</v>
      </c>
      <c r="B30" s="11" t="s">
        <v>73</v>
      </c>
      <c r="C30" s="12" t="s">
        <v>64</v>
      </c>
      <c r="D30" s="11"/>
    </row>
    <row r="31" spans="1:4" x14ac:dyDescent="0.3">
      <c r="A31" s="1" t="s">
        <v>33</v>
      </c>
      <c r="B31" s="1" t="s">
        <v>89</v>
      </c>
    </row>
    <row r="32" spans="1:4" x14ac:dyDescent="0.3">
      <c r="A32" s="1" t="s">
        <v>34</v>
      </c>
      <c r="B32" s="1" t="s">
        <v>90</v>
      </c>
    </row>
    <row r="33" spans="1:2" x14ac:dyDescent="0.3">
      <c r="A33" s="1" t="s">
        <v>35</v>
      </c>
      <c r="B33" s="1" t="s">
        <v>91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33"/>
  <sheetViews>
    <sheetView zoomScale="85" zoomScaleNormal="85" workbookViewId="0">
      <selection activeCell="C4" sqref="C4"/>
    </sheetView>
  </sheetViews>
  <sheetFormatPr baseColWidth="10" defaultColWidth="11.44140625" defaultRowHeight="14.4" x14ac:dyDescent="0.3"/>
  <cols>
    <col min="1" max="1" width="12.33203125" style="1" customWidth="1"/>
    <col min="2" max="2" width="100.664062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SUM(C3,C7,C10,C14,C16,C19,C22,C25,C30)</f>
        <v>49</v>
      </c>
      <c r="D2" s="27"/>
      <c r="E2" s="39"/>
    </row>
    <row r="3" spans="1:5" x14ac:dyDescent="0.3">
      <c r="A3" s="11" t="s">
        <v>4</v>
      </c>
      <c r="B3" s="11" t="s">
        <v>101</v>
      </c>
      <c r="C3" s="12">
        <f>SUM(C4:C6)</f>
        <v>10</v>
      </c>
      <c r="D3" s="11"/>
    </row>
    <row r="4" spans="1:5" x14ac:dyDescent="0.3">
      <c r="A4" s="1" t="s">
        <v>12</v>
      </c>
      <c r="B4" s="1" t="s">
        <v>103</v>
      </c>
      <c r="C4" s="2">
        <v>4</v>
      </c>
    </row>
    <row r="5" spans="1:5" x14ac:dyDescent="0.3">
      <c r="A5" s="1" t="s">
        <v>13</v>
      </c>
      <c r="B5" s="1" t="s">
        <v>102</v>
      </c>
      <c r="C5" s="2">
        <v>4</v>
      </c>
      <c r="D5" s="1" t="s">
        <v>110</v>
      </c>
    </row>
    <row r="6" spans="1:5" x14ac:dyDescent="0.3">
      <c r="A6" s="1" t="s">
        <v>14</v>
      </c>
      <c r="B6" s="1" t="s">
        <v>104</v>
      </c>
      <c r="C6" s="2">
        <v>2</v>
      </c>
      <c r="D6" s="1" t="s">
        <v>112</v>
      </c>
    </row>
    <row r="7" spans="1:5" x14ac:dyDescent="0.3">
      <c r="A7" s="11" t="s">
        <v>5</v>
      </c>
      <c r="B7" s="11" t="s">
        <v>69</v>
      </c>
      <c r="C7" s="12">
        <f>SUM(C8:C9)</f>
        <v>6</v>
      </c>
      <c r="D7" s="11"/>
    </row>
    <row r="8" spans="1:5" ht="15" customHeight="1" x14ac:dyDescent="0.3">
      <c r="A8" s="1" t="s">
        <v>15</v>
      </c>
      <c r="B8" s="1" t="s">
        <v>92</v>
      </c>
      <c r="C8" s="2">
        <v>4</v>
      </c>
    </row>
    <row r="9" spans="1:5" x14ac:dyDescent="0.3">
      <c r="A9" s="1" t="s">
        <v>16</v>
      </c>
      <c r="B9" s="1" t="s">
        <v>77</v>
      </c>
      <c r="C9" s="2">
        <v>2</v>
      </c>
    </row>
    <row r="10" spans="1:5" x14ac:dyDescent="0.3">
      <c r="A10" s="11" t="s">
        <v>6</v>
      </c>
      <c r="B10" s="11" t="s">
        <v>70</v>
      </c>
      <c r="C10" s="12">
        <f>SUM(C11:C13)</f>
        <v>5</v>
      </c>
      <c r="D10" s="11"/>
    </row>
    <row r="11" spans="1:5" x14ac:dyDescent="0.3">
      <c r="A11" s="1" t="s">
        <v>17</v>
      </c>
      <c r="B11" s="1" t="s">
        <v>81</v>
      </c>
      <c r="C11" s="2">
        <v>2</v>
      </c>
    </row>
    <row r="12" spans="1:5" x14ac:dyDescent="0.3">
      <c r="A12" s="1" t="s">
        <v>18</v>
      </c>
      <c r="B12" s="1" t="s">
        <v>78</v>
      </c>
      <c r="C12" s="2">
        <v>1</v>
      </c>
    </row>
    <row r="13" spans="1:5" x14ac:dyDescent="0.3">
      <c r="A13" s="1" t="s">
        <v>79</v>
      </c>
      <c r="B13" s="1" t="s">
        <v>80</v>
      </c>
      <c r="C13" s="2">
        <v>2</v>
      </c>
    </row>
    <row r="14" spans="1:5" x14ac:dyDescent="0.3">
      <c r="A14" s="11" t="s">
        <v>7</v>
      </c>
      <c r="B14" s="11" t="s">
        <v>72</v>
      </c>
      <c r="C14" s="12">
        <f>SUM(C15:C15)</f>
        <v>2</v>
      </c>
      <c r="D14" s="11"/>
    </row>
    <row r="15" spans="1:5" x14ac:dyDescent="0.3">
      <c r="A15" s="1" t="s">
        <v>19</v>
      </c>
      <c r="B15" s="1" t="s">
        <v>82</v>
      </c>
      <c r="C15" s="2">
        <v>2</v>
      </c>
    </row>
    <row r="16" spans="1:5" x14ac:dyDescent="0.3">
      <c r="A16" s="11" t="s">
        <v>10</v>
      </c>
      <c r="B16" s="11" t="s">
        <v>76</v>
      </c>
      <c r="C16" s="12">
        <f>SUM(C17:C18)</f>
        <v>6</v>
      </c>
      <c r="D16" s="11"/>
    </row>
    <row r="17" spans="1:4" x14ac:dyDescent="0.3">
      <c r="A17" s="1" t="s">
        <v>20</v>
      </c>
      <c r="B17" s="1" t="s">
        <v>83</v>
      </c>
      <c r="C17" s="2">
        <v>4</v>
      </c>
    </row>
    <row r="18" spans="1:4" x14ac:dyDescent="0.3">
      <c r="A18" s="1" t="s">
        <v>21</v>
      </c>
      <c r="B18" s="1" t="s">
        <v>84</v>
      </c>
      <c r="C18" s="2">
        <v>2</v>
      </c>
    </row>
    <row r="19" spans="1:4" x14ac:dyDescent="0.3">
      <c r="A19" s="11" t="s">
        <v>9</v>
      </c>
      <c r="B19" s="11" t="s">
        <v>71</v>
      </c>
      <c r="C19" s="12">
        <f>SUM(C20:C21)</f>
        <v>4</v>
      </c>
      <c r="D19" s="11"/>
    </row>
    <row r="20" spans="1:4" x14ac:dyDescent="0.3">
      <c r="A20" s="1" t="s">
        <v>22</v>
      </c>
      <c r="B20" s="1" t="s">
        <v>85</v>
      </c>
      <c r="C20" s="2">
        <v>2</v>
      </c>
    </row>
    <row r="21" spans="1:4" x14ac:dyDescent="0.3">
      <c r="A21" s="1" t="s">
        <v>23</v>
      </c>
      <c r="B21" s="1" t="s">
        <v>86</v>
      </c>
      <c r="C21" s="2">
        <v>2</v>
      </c>
    </row>
    <row r="22" spans="1:4" x14ac:dyDescent="0.3">
      <c r="A22" s="11" t="s">
        <v>11</v>
      </c>
      <c r="B22" s="11" t="s">
        <v>74</v>
      </c>
      <c r="C22" s="12">
        <f>SUM(C23:C24)</f>
        <v>4</v>
      </c>
      <c r="D22" s="11"/>
    </row>
    <row r="23" spans="1:4" x14ac:dyDescent="0.3">
      <c r="A23" s="1" t="s">
        <v>24</v>
      </c>
      <c r="B23" s="1" t="s">
        <v>87</v>
      </c>
      <c r="C23" s="2">
        <v>2</v>
      </c>
    </row>
    <row r="24" spans="1:4" x14ac:dyDescent="0.3">
      <c r="A24" s="1" t="s">
        <v>25</v>
      </c>
      <c r="B24" s="1" t="s">
        <v>88</v>
      </c>
      <c r="C24" s="2">
        <v>2</v>
      </c>
    </row>
    <row r="25" spans="1:4" ht="15" customHeight="1" x14ac:dyDescent="0.3">
      <c r="A25" s="11" t="s">
        <v>28</v>
      </c>
      <c r="B25" s="11" t="s">
        <v>75</v>
      </c>
      <c r="C25" s="12">
        <f>SUM(C26:C29)</f>
        <v>10</v>
      </c>
      <c r="D25" s="11"/>
    </row>
    <row r="26" spans="1:4" x14ac:dyDescent="0.3">
      <c r="A26" s="1" t="s">
        <v>29</v>
      </c>
      <c r="B26" s="1" t="s">
        <v>96</v>
      </c>
      <c r="C26" s="2">
        <v>4</v>
      </c>
    </row>
    <row r="27" spans="1:4" x14ac:dyDescent="0.3">
      <c r="A27" s="1" t="s">
        <v>31</v>
      </c>
      <c r="B27" s="1" t="s">
        <v>93</v>
      </c>
      <c r="C27" s="2">
        <v>2</v>
      </c>
    </row>
    <row r="28" spans="1:4" x14ac:dyDescent="0.3">
      <c r="A28" s="1" t="s">
        <v>32</v>
      </c>
      <c r="B28" s="1" t="s">
        <v>94</v>
      </c>
      <c r="C28" s="2">
        <v>2</v>
      </c>
    </row>
    <row r="29" spans="1:4" x14ac:dyDescent="0.3">
      <c r="A29" s="1" t="s">
        <v>36</v>
      </c>
      <c r="B29" s="1" t="s">
        <v>95</v>
      </c>
      <c r="C29" s="2">
        <v>2</v>
      </c>
    </row>
    <row r="30" spans="1:4" x14ac:dyDescent="0.3">
      <c r="A30" s="11" t="s">
        <v>30</v>
      </c>
      <c r="B30" s="11" t="s">
        <v>73</v>
      </c>
      <c r="C30" s="12">
        <f>SUM(C31:C33)</f>
        <v>2</v>
      </c>
      <c r="D30" s="11"/>
    </row>
    <row r="31" spans="1:4" x14ac:dyDescent="0.3">
      <c r="A31" s="1" t="s">
        <v>33</v>
      </c>
      <c r="B31" s="1" t="s">
        <v>89</v>
      </c>
      <c r="C31" s="2">
        <v>1</v>
      </c>
    </row>
    <row r="32" spans="1:4" x14ac:dyDescent="0.3">
      <c r="A32" s="1" t="s">
        <v>34</v>
      </c>
      <c r="B32" s="1" t="s">
        <v>90</v>
      </c>
      <c r="C32" s="2">
        <v>0.5</v>
      </c>
    </row>
    <row r="33" spans="1:3" x14ac:dyDescent="0.3">
      <c r="A33" s="1" t="s">
        <v>35</v>
      </c>
      <c r="B33" s="1" t="s">
        <v>91</v>
      </c>
      <c r="C33" s="2">
        <v>0.5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C40"/>
  <sheetViews>
    <sheetView zoomScale="55" zoomScaleNormal="55" workbookViewId="0">
      <selection activeCell="O42" sqref="O42"/>
    </sheetView>
  </sheetViews>
  <sheetFormatPr baseColWidth="10" defaultColWidth="11.44140625" defaultRowHeight="14.4" x14ac:dyDescent="0.3"/>
  <cols>
    <col min="1" max="1" width="12.33203125" style="1" customWidth="1"/>
    <col min="2" max="2" width="100.664062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55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55" ht="34.5" customHeight="1" x14ac:dyDescent="0.3">
      <c r="A3" s="50"/>
      <c r="B3" s="51"/>
      <c r="C3" s="28"/>
      <c r="D3" s="28"/>
      <c r="E3" s="41" t="str">
        <f>IF(E4=0," ",CHOOSE(WEEKDAY(E4,2),"L","M","X","J","V","S","D"))</f>
        <v>J</v>
      </c>
      <c r="F3" s="41" t="str">
        <f>IF(F4=0," ",CHOOSE(WEEKDAY(F4,2),"L","M","X","J","V","S","D"))</f>
        <v>V</v>
      </c>
      <c r="G3" s="41" t="str">
        <f>IF(G4=0," ",CHOOSE(WEEKDAY(G4,2),"L","M","X","J","V","S","D"))</f>
        <v>L</v>
      </c>
      <c r="H3" s="41" t="str">
        <f t="shared" ref="H3:BC3" si="0">IF(H4=0," ",CHOOSE(WEEKDAY(H4,2),"L","M","X","J","V","S","D"))</f>
        <v>M</v>
      </c>
      <c r="I3" s="41" t="str">
        <f t="shared" si="0"/>
        <v>X</v>
      </c>
      <c r="J3" s="41" t="str">
        <f t="shared" si="0"/>
        <v>J</v>
      </c>
      <c r="K3" s="41" t="str">
        <f t="shared" si="0"/>
        <v>V</v>
      </c>
      <c r="L3" s="41" t="str">
        <f t="shared" si="0"/>
        <v>L</v>
      </c>
      <c r="M3" s="41" t="str">
        <f t="shared" si="0"/>
        <v>M</v>
      </c>
      <c r="N3" s="41" t="str">
        <f t="shared" si="0"/>
        <v>X</v>
      </c>
      <c r="O3" s="41" t="str">
        <f t="shared" si="0"/>
        <v>J</v>
      </c>
      <c r="P3" s="41" t="str">
        <f t="shared" si="0"/>
        <v>V</v>
      </c>
      <c r="Q3" s="41" t="str">
        <f t="shared" si="0"/>
        <v>S</v>
      </c>
      <c r="R3" s="41" t="str">
        <f t="shared" si="0"/>
        <v>D</v>
      </c>
      <c r="S3" s="41" t="str">
        <f t="shared" si="0"/>
        <v>L</v>
      </c>
      <c r="T3" s="41" t="str">
        <f t="shared" si="0"/>
        <v>M</v>
      </c>
      <c r="U3" s="41" t="str">
        <f t="shared" si="0"/>
        <v>X</v>
      </c>
      <c r="V3" s="41" t="str">
        <f t="shared" si="0"/>
        <v>J</v>
      </c>
      <c r="W3" s="41" t="str">
        <f t="shared" si="0"/>
        <v>V</v>
      </c>
      <c r="X3" s="41" t="str">
        <f t="shared" si="0"/>
        <v>S</v>
      </c>
      <c r="Y3" s="41" t="str">
        <f t="shared" si="0"/>
        <v>D</v>
      </c>
      <c r="Z3" s="41" t="str">
        <f t="shared" si="0"/>
        <v>L</v>
      </c>
      <c r="AA3" s="41" t="str">
        <f t="shared" si="0"/>
        <v>M</v>
      </c>
      <c r="AB3" s="41" t="str">
        <f t="shared" si="0"/>
        <v>X</v>
      </c>
      <c r="AC3" s="41" t="str">
        <f t="shared" si="0"/>
        <v>J</v>
      </c>
      <c r="AD3" s="41" t="str">
        <f t="shared" si="0"/>
        <v>V</v>
      </c>
      <c r="AE3" s="41" t="str">
        <f t="shared" si="0"/>
        <v>S</v>
      </c>
      <c r="AF3" s="41" t="str">
        <f t="shared" si="0"/>
        <v>D</v>
      </c>
      <c r="AG3" s="41" t="str">
        <f t="shared" si="0"/>
        <v>L</v>
      </c>
      <c r="AH3" s="41" t="str">
        <f t="shared" si="0"/>
        <v>M</v>
      </c>
      <c r="AI3" s="41" t="str">
        <f t="shared" si="0"/>
        <v>X</v>
      </c>
      <c r="AJ3" s="41" t="str">
        <f t="shared" si="0"/>
        <v>J</v>
      </c>
      <c r="AK3" s="41" t="str">
        <f t="shared" si="0"/>
        <v>V</v>
      </c>
      <c r="AL3" s="41" t="str">
        <f t="shared" si="0"/>
        <v>S</v>
      </c>
      <c r="AM3" s="41" t="str">
        <f t="shared" si="0"/>
        <v>D</v>
      </c>
      <c r="AN3" s="41" t="str">
        <f t="shared" si="0"/>
        <v>L</v>
      </c>
      <c r="AO3" s="41" t="str">
        <f t="shared" si="0"/>
        <v>M</v>
      </c>
      <c r="AP3" s="41" t="str">
        <f t="shared" si="0"/>
        <v>X</v>
      </c>
      <c r="AQ3" s="41" t="str">
        <f t="shared" si="0"/>
        <v>J</v>
      </c>
      <c r="AR3" s="41" t="str">
        <f t="shared" si="0"/>
        <v>V</v>
      </c>
      <c r="AS3" s="41" t="str">
        <f t="shared" si="0"/>
        <v>S</v>
      </c>
      <c r="AT3" s="41" t="str">
        <f t="shared" si="0"/>
        <v>D</v>
      </c>
      <c r="AU3" s="41" t="str">
        <f t="shared" si="0"/>
        <v>L</v>
      </c>
      <c r="AV3" s="41" t="str">
        <f t="shared" si="0"/>
        <v>M</v>
      </c>
      <c r="AW3" s="41" t="str">
        <f t="shared" si="0"/>
        <v>X</v>
      </c>
      <c r="AX3" s="41" t="str">
        <f t="shared" si="0"/>
        <v>J</v>
      </c>
      <c r="AY3" s="41" t="str">
        <f t="shared" si="0"/>
        <v>V</v>
      </c>
      <c r="AZ3" s="41" t="str">
        <f t="shared" si="0"/>
        <v>S</v>
      </c>
      <c r="BA3" s="41" t="str">
        <f t="shared" si="0"/>
        <v>D</v>
      </c>
      <c r="BB3" s="41" t="str">
        <f t="shared" si="0"/>
        <v>L</v>
      </c>
      <c r="BC3" s="41" t="str">
        <f t="shared" si="0"/>
        <v>M</v>
      </c>
    </row>
    <row r="4" spans="1:55" ht="37.799999999999997" x14ac:dyDescent="0.3">
      <c r="A4" s="31"/>
      <c r="B4" s="31"/>
      <c r="C4" s="31"/>
      <c r="D4" s="31"/>
      <c r="E4" s="32">
        <v>42278</v>
      </c>
      <c r="F4" s="32">
        <v>42279</v>
      </c>
      <c r="G4" s="32">
        <v>42282</v>
      </c>
      <c r="H4" s="32">
        <v>42283</v>
      </c>
      <c r="I4" s="32">
        <v>42284</v>
      </c>
      <c r="J4" s="32">
        <v>42285</v>
      </c>
      <c r="K4" s="32">
        <v>42286</v>
      </c>
      <c r="L4" s="32">
        <v>42289</v>
      </c>
      <c r="M4" s="32">
        <v>42290</v>
      </c>
      <c r="N4" s="32">
        <v>42291</v>
      </c>
      <c r="O4" s="32">
        <v>42292</v>
      </c>
      <c r="P4" s="32">
        <v>42293</v>
      </c>
      <c r="Q4" s="32">
        <v>42294</v>
      </c>
      <c r="R4" s="32">
        <v>42295</v>
      </c>
      <c r="S4" s="32">
        <v>42296</v>
      </c>
      <c r="T4" s="32">
        <v>42297</v>
      </c>
      <c r="U4" s="32">
        <v>42298</v>
      </c>
      <c r="V4" s="32">
        <v>42299</v>
      </c>
      <c r="W4" s="32">
        <v>42300</v>
      </c>
      <c r="X4" s="32">
        <v>42301</v>
      </c>
      <c r="Y4" s="32">
        <v>42302</v>
      </c>
      <c r="Z4" s="32">
        <v>42303</v>
      </c>
      <c r="AA4" s="32">
        <v>42304</v>
      </c>
      <c r="AB4" s="32">
        <v>42305</v>
      </c>
      <c r="AC4" s="32">
        <v>42306</v>
      </c>
      <c r="AD4" s="32">
        <v>42307</v>
      </c>
      <c r="AE4" s="32">
        <v>42308</v>
      </c>
      <c r="AF4" s="32">
        <v>42309</v>
      </c>
      <c r="AG4" s="32">
        <v>42310</v>
      </c>
      <c r="AH4" s="32">
        <v>42311</v>
      </c>
      <c r="AI4" s="32">
        <v>42312</v>
      </c>
      <c r="AJ4" s="32">
        <v>42313</v>
      </c>
      <c r="AK4" s="32">
        <v>42314</v>
      </c>
      <c r="AL4" s="32">
        <v>42315</v>
      </c>
      <c r="AM4" s="32">
        <v>42316</v>
      </c>
      <c r="AN4" s="32">
        <v>42317</v>
      </c>
      <c r="AO4" s="32">
        <v>42318</v>
      </c>
      <c r="AP4" s="32">
        <v>42319</v>
      </c>
      <c r="AQ4" s="32">
        <v>42320</v>
      </c>
      <c r="AR4" s="32">
        <v>42321</v>
      </c>
      <c r="AS4" s="32">
        <v>42322</v>
      </c>
      <c r="AT4" s="32">
        <v>42323</v>
      </c>
      <c r="AU4" s="32">
        <v>42324</v>
      </c>
      <c r="AV4" s="32">
        <v>42325</v>
      </c>
      <c r="AW4" s="32">
        <v>42326</v>
      </c>
      <c r="AX4" s="32">
        <v>42327</v>
      </c>
      <c r="AY4" s="32">
        <v>42328</v>
      </c>
      <c r="AZ4" s="32">
        <v>42329</v>
      </c>
      <c r="BA4" s="32">
        <v>42330</v>
      </c>
      <c r="BB4" s="32">
        <v>42331</v>
      </c>
      <c r="BC4" s="32">
        <v>42332</v>
      </c>
    </row>
    <row r="5" spans="1:55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L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</row>
    <row r="6" spans="1:55" ht="15" x14ac:dyDescent="0.3">
      <c r="A6" s="114" t="s">
        <v>43</v>
      </c>
      <c r="B6" s="115"/>
      <c r="C6" s="116"/>
      <c r="D6" s="35">
        <f>COUNTIF(D10:D896,"&gt;0")</f>
        <v>9</v>
      </c>
      <c r="E6" s="43">
        <f t="shared" ref="E6:N6" si="2">COUNTIF(E10:E929,"&gt;0")</f>
        <v>22</v>
      </c>
      <c r="F6" s="43">
        <f t="shared" si="2"/>
        <v>22</v>
      </c>
      <c r="G6" s="43">
        <f t="shared" si="2"/>
        <v>22</v>
      </c>
      <c r="H6" s="43">
        <f t="shared" si="2"/>
        <v>22</v>
      </c>
      <c r="I6" s="43">
        <f t="shared" si="2"/>
        <v>22</v>
      </c>
      <c r="J6" s="43">
        <f t="shared" si="2"/>
        <v>22</v>
      </c>
      <c r="K6" s="43">
        <f t="shared" si="2"/>
        <v>22</v>
      </c>
      <c r="L6" s="43">
        <f t="shared" si="2"/>
        <v>22</v>
      </c>
      <c r="M6" s="43">
        <f t="shared" si="2"/>
        <v>22</v>
      </c>
      <c r="N6" s="43">
        <f t="shared" si="2"/>
        <v>22</v>
      </c>
      <c r="O6" s="43">
        <f t="shared" ref="O6:AH6" si="3">COUNTIF(O10:O929,"&gt;0")</f>
        <v>22</v>
      </c>
      <c r="P6" s="43">
        <f t="shared" si="3"/>
        <v>22</v>
      </c>
      <c r="Q6" s="43">
        <f t="shared" si="3"/>
        <v>22</v>
      </c>
      <c r="R6" s="43">
        <f t="shared" si="3"/>
        <v>22</v>
      </c>
      <c r="S6" s="43">
        <f t="shared" si="3"/>
        <v>21</v>
      </c>
      <c r="T6" s="43">
        <f t="shared" si="3"/>
        <v>21</v>
      </c>
      <c r="U6" s="43">
        <f t="shared" si="3"/>
        <v>21</v>
      </c>
      <c r="V6" s="43">
        <f t="shared" si="3"/>
        <v>21</v>
      </c>
      <c r="W6" s="43">
        <f t="shared" si="3"/>
        <v>20</v>
      </c>
      <c r="X6" s="43">
        <f t="shared" si="3"/>
        <v>20</v>
      </c>
      <c r="Y6" s="43">
        <f t="shared" si="3"/>
        <v>17</v>
      </c>
      <c r="Z6" s="43">
        <f t="shared" si="3"/>
        <v>17</v>
      </c>
      <c r="AA6" s="43">
        <f t="shared" si="3"/>
        <v>17</v>
      </c>
      <c r="AB6" s="43">
        <f t="shared" si="3"/>
        <v>17</v>
      </c>
      <c r="AC6" s="43">
        <f t="shared" si="3"/>
        <v>17</v>
      </c>
      <c r="AD6" s="43">
        <f t="shared" si="3"/>
        <v>17</v>
      </c>
      <c r="AE6" s="43">
        <f t="shared" si="3"/>
        <v>17</v>
      </c>
      <c r="AF6" s="43">
        <f t="shared" si="3"/>
        <v>15</v>
      </c>
      <c r="AG6" s="43">
        <f t="shared" si="3"/>
        <v>13</v>
      </c>
      <c r="AH6" s="43">
        <f t="shared" si="3"/>
        <v>13</v>
      </c>
      <c r="AI6" s="43">
        <f t="shared" ref="AI6:BC6" si="4">COUNTIF(AI10:AI929,"&gt;0")</f>
        <v>13</v>
      </c>
      <c r="AJ6" s="43">
        <f t="shared" si="4"/>
        <v>13</v>
      </c>
      <c r="AK6" s="43">
        <f t="shared" si="4"/>
        <v>13</v>
      </c>
      <c r="AL6" s="43">
        <f t="shared" si="4"/>
        <v>13</v>
      </c>
      <c r="AM6" s="43">
        <f t="shared" si="4"/>
        <v>13</v>
      </c>
      <c r="AN6" s="43">
        <f t="shared" si="4"/>
        <v>13</v>
      </c>
      <c r="AO6" s="43">
        <f t="shared" si="4"/>
        <v>13</v>
      </c>
      <c r="AP6" s="43">
        <f t="shared" si="4"/>
        <v>13</v>
      </c>
      <c r="AQ6" s="43">
        <f t="shared" si="4"/>
        <v>13</v>
      </c>
      <c r="AR6" s="43">
        <f t="shared" si="4"/>
        <v>13</v>
      </c>
      <c r="AS6" s="43">
        <f t="shared" si="4"/>
        <v>13</v>
      </c>
      <c r="AT6" s="43">
        <f t="shared" si="4"/>
        <v>13</v>
      </c>
      <c r="AU6" s="43">
        <f t="shared" si="4"/>
        <v>13</v>
      </c>
      <c r="AV6" s="43">
        <f t="shared" si="4"/>
        <v>13</v>
      </c>
      <c r="AW6" s="43">
        <f t="shared" si="4"/>
        <v>13</v>
      </c>
      <c r="AX6" s="43">
        <f t="shared" si="4"/>
        <v>13</v>
      </c>
      <c r="AY6" s="43">
        <f t="shared" si="4"/>
        <v>13</v>
      </c>
      <c r="AZ6" s="43">
        <f t="shared" si="4"/>
        <v>13</v>
      </c>
      <c r="BA6" s="43">
        <f t="shared" si="4"/>
        <v>13</v>
      </c>
      <c r="BB6" s="43">
        <f t="shared" si="4"/>
        <v>13</v>
      </c>
      <c r="BC6" s="43">
        <f t="shared" si="4"/>
        <v>13</v>
      </c>
    </row>
    <row r="7" spans="1:55" ht="15.6" x14ac:dyDescent="0.3">
      <c r="A7" s="114" t="s">
        <v>44</v>
      </c>
      <c r="B7" s="115"/>
      <c r="C7" s="116"/>
      <c r="D7" s="37">
        <f>SUM(D9:D929)</f>
        <v>23</v>
      </c>
      <c r="E7" s="44">
        <f t="shared" ref="E7:N7" si="5">IF(SUM(E10:E39)&gt;=0,SUM(E10:E39),#N/A)</f>
        <v>49</v>
      </c>
      <c r="F7" s="44">
        <f t="shared" si="5"/>
        <v>49</v>
      </c>
      <c r="G7" s="44">
        <f t="shared" si="5"/>
        <v>49</v>
      </c>
      <c r="H7" s="44">
        <f t="shared" si="5"/>
        <v>49</v>
      </c>
      <c r="I7" s="44">
        <f t="shared" si="5"/>
        <v>49</v>
      </c>
      <c r="J7" s="44">
        <f t="shared" si="5"/>
        <v>49</v>
      </c>
      <c r="K7" s="44">
        <f t="shared" si="5"/>
        <v>49</v>
      </c>
      <c r="L7" s="44">
        <f t="shared" si="5"/>
        <v>49</v>
      </c>
      <c r="M7" s="44">
        <f t="shared" si="5"/>
        <v>47</v>
      </c>
      <c r="N7" s="44">
        <f t="shared" si="5"/>
        <v>47</v>
      </c>
      <c r="O7" s="44">
        <f t="shared" ref="O7:AH7" si="6">IF(SUM(O10:O39)&gt;=0,SUM(O10:O39),#N/A)</f>
        <v>47</v>
      </c>
      <c r="P7" s="44">
        <f t="shared" si="6"/>
        <v>47</v>
      </c>
      <c r="Q7" s="44">
        <f t="shared" si="6"/>
        <v>47</v>
      </c>
      <c r="R7" s="44">
        <f t="shared" si="6"/>
        <v>47</v>
      </c>
      <c r="S7" s="44">
        <f t="shared" si="6"/>
        <v>45</v>
      </c>
      <c r="T7" s="44">
        <f t="shared" si="6"/>
        <v>45</v>
      </c>
      <c r="U7" s="44">
        <f t="shared" si="6"/>
        <v>45</v>
      </c>
      <c r="V7" s="44">
        <f t="shared" si="6"/>
        <v>45</v>
      </c>
      <c r="W7" s="44">
        <f t="shared" si="6"/>
        <v>41</v>
      </c>
      <c r="X7" s="44">
        <f t="shared" si="6"/>
        <v>39</v>
      </c>
      <c r="Y7" s="44">
        <f t="shared" si="6"/>
        <v>33</v>
      </c>
      <c r="Z7" s="44">
        <f t="shared" si="6"/>
        <v>37</v>
      </c>
      <c r="AA7" s="44">
        <f t="shared" si="6"/>
        <v>37</v>
      </c>
      <c r="AB7" s="44">
        <f t="shared" si="6"/>
        <v>37</v>
      </c>
      <c r="AC7" s="44">
        <f t="shared" si="6"/>
        <v>37</v>
      </c>
      <c r="AD7" s="44">
        <f t="shared" si="6"/>
        <v>35</v>
      </c>
      <c r="AE7" s="44">
        <f t="shared" si="6"/>
        <v>35</v>
      </c>
      <c r="AF7" s="44">
        <f t="shared" si="6"/>
        <v>29</v>
      </c>
      <c r="AG7" s="44">
        <f t="shared" si="6"/>
        <v>26</v>
      </c>
      <c r="AH7" s="44">
        <f t="shared" si="6"/>
        <v>26</v>
      </c>
      <c r="AI7" s="44">
        <f t="shared" ref="AI7:BC7" si="7">IF(SUM(AI10:AI39)&gt;=0,SUM(AI10:AI39),#N/A)</f>
        <v>26</v>
      </c>
      <c r="AJ7" s="44">
        <f t="shared" si="7"/>
        <v>26</v>
      </c>
      <c r="AK7" s="44">
        <f t="shared" si="7"/>
        <v>26</v>
      </c>
      <c r="AL7" s="44">
        <f t="shared" si="7"/>
        <v>26</v>
      </c>
      <c r="AM7" s="44">
        <f t="shared" si="7"/>
        <v>26</v>
      </c>
      <c r="AN7" s="44">
        <f t="shared" si="7"/>
        <v>26</v>
      </c>
      <c r="AO7" s="44">
        <f t="shared" si="7"/>
        <v>26</v>
      </c>
      <c r="AP7" s="44">
        <f t="shared" si="7"/>
        <v>26</v>
      </c>
      <c r="AQ7" s="44">
        <f t="shared" si="7"/>
        <v>26</v>
      </c>
      <c r="AR7" s="44">
        <f t="shared" si="7"/>
        <v>26</v>
      </c>
      <c r="AS7" s="44">
        <f t="shared" si="7"/>
        <v>26</v>
      </c>
      <c r="AT7" s="44">
        <f t="shared" si="7"/>
        <v>26</v>
      </c>
      <c r="AU7" s="44">
        <f t="shared" si="7"/>
        <v>26</v>
      </c>
      <c r="AV7" s="44">
        <f t="shared" si="7"/>
        <v>26</v>
      </c>
      <c r="AW7" s="44">
        <f t="shared" si="7"/>
        <v>26</v>
      </c>
      <c r="AX7" s="44">
        <f t="shared" si="7"/>
        <v>26</v>
      </c>
      <c r="AY7" s="44">
        <f t="shared" si="7"/>
        <v>26</v>
      </c>
      <c r="AZ7" s="44">
        <f t="shared" si="7"/>
        <v>26</v>
      </c>
      <c r="BA7" s="44">
        <f t="shared" si="7"/>
        <v>26</v>
      </c>
      <c r="BB7" s="44">
        <f t="shared" si="7"/>
        <v>26</v>
      </c>
      <c r="BC7" s="44">
        <f t="shared" si="7"/>
        <v>26</v>
      </c>
    </row>
    <row r="9" spans="1:55" s="23" customFormat="1" ht="21" customHeight="1" x14ac:dyDescent="0.3">
      <c r="A9" s="89" t="s">
        <v>0</v>
      </c>
      <c r="B9" s="89" t="s">
        <v>1</v>
      </c>
      <c r="C9" s="89" t="s">
        <v>46</v>
      </c>
      <c r="D9" s="89" t="s">
        <v>2</v>
      </c>
      <c r="E9" s="117" t="s">
        <v>45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</row>
    <row r="10" spans="1:55" x14ac:dyDescent="0.3">
      <c r="A10" s="90" t="s">
        <v>113</v>
      </c>
      <c r="B10" s="1" t="s">
        <v>103</v>
      </c>
      <c r="C10" s="1" t="s">
        <v>55</v>
      </c>
      <c r="D10" s="101">
        <f>'Pila-Sprint1'!C4</f>
        <v>4</v>
      </c>
      <c r="E10" s="19">
        <v>4</v>
      </c>
      <c r="F10" s="19">
        <v>4</v>
      </c>
      <c r="G10" s="19">
        <v>4</v>
      </c>
      <c r="H10" s="19">
        <v>4</v>
      </c>
      <c r="I10" s="19">
        <v>4</v>
      </c>
      <c r="J10" s="19">
        <v>4</v>
      </c>
      <c r="K10" s="19">
        <v>4</v>
      </c>
      <c r="L10" s="19">
        <v>4</v>
      </c>
      <c r="M10" s="19">
        <v>2</v>
      </c>
      <c r="N10" s="19">
        <v>2</v>
      </c>
      <c r="O10" s="19">
        <v>2</v>
      </c>
      <c r="P10" s="19">
        <v>2</v>
      </c>
      <c r="Q10" s="19">
        <v>2</v>
      </c>
      <c r="R10" s="19">
        <v>2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</row>
    <row r="11" spans="1:55" x14ac:dyDescent="0.3">
      <c r="A11" s="90" t="s">
        <v>115</v>
      </c>
      <c r="B11" s="1" t="s">
        <v>102</v>
      </c>
      <c r="C11" s="1" t="s">
        <v>65</v>
      </c>
      <c r="D11" s="19">
        <f>'Pila-Sprint1'!C5</f>
        <v>4</v>
      </c>
      <c r="E11" s="19">
        <v>4</v>
      </c>
      <c r="F11" s="19">
        <v>4</v>
      </c>
      <c r="G11" s="19">
        <v>4</v>
      </c>
      <c r="H11" s="19">
        <v>4</v>
      </c>
      <c r="I11" s="19">
        <v>4</v>
      </c>
      <c r="J11" s="19">
        <v>4</v>
      </c>
      <c r="K11" s="19">
        <v>4</v>
      </c>
      <c r="L11" s="19">
        <v>4</v>
      </c>
      <c r="M11" s="19">
        <v>4</v>
      </c>
      <c r="N11" s="19">
        <v>4</v>
      </c>
      <c r="O11" s="19">
        <v>4</v>
      </c>
      <c r="P11" s="19">
        <v>4</v>
      </c>
      <c r="Q11" s="19">
        <v>4</v>
      </c>
      <c r="R11" s="19">
        <v>4</v>
      </c>
      <c r="S11" s="19">
        <v>4</v>
      </c>
      <c r="T11" s="19">
        <v>4</v>
      </c>
      <c r="U11" s="19">
        <v>4</v>
      </c>
      <c r="V11" s="19">
        <v>4</v>
      </c>
      <c r="W11" s="19">
        <v>4</v>
      </c>
      <c r="X11" s="19">
        <v>2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</row>
    <row r="12" spans="1:55" x14ac:dyDescent="0.3">
      <c r="A12" s="90" t="s">
        <v>114</v>
      </c>
      <c r="B12" s="1" t="s">
        <v>104</v>
      </c>
      <c r="C12" s="1" t="s">
        <v>65</v>
      </c>
      <c r="D12" s="19">
        <f>'Pila-Sprint1'!C6</f>
        <v>2</v>
      </c>
      <c r="E12" s="19">
        <v>2</v>
      </c>
      <c r="F12" s="19">
        <v>2</v>
      </c>
      <c r="G12" s="19">
        <v>2</v>
      </c>
      <c r="H12" s="19">
        <v>2</v>
      </c>
      <c r="I12" s="19">
        <v>2</v>
      </c>
      <c r="J12" s="19">
        <v>2</v>
      </c>
      <c r="K12" s="19">
        <v>2</v>
      </c>
      <c r="L12" s="19">
        <v>2</v>
      </c>
      <c r="M12" s="19">
        <v>2</v>
      </c>
      <c r="N12" s="19">
        <v>2</v>
      </c>
      <c r="O12" s="19">
        <v>2</v>
      </c>
      <c r="P12" s="19">
        <v>2</v>
      </c>
      <c r="Q12" s="19">
        <v>2</v>
      </c>
      <c r="R12" s="19">
        <v>2</v>
      </c>
      <c r="S12" s="19">
        <v>2</v>
      </c>
      <c r="T12" s="19">
        <v>2</v>
      </c>
      <c r="U12" s="19">
        <v>2</v>
      </c>
      <c r="V12" s="19">
        <v>2</v>
      </c>
      <c r="W12" s="19">
        <v>2</v>
      </c>
      <c r="X12" s="19">
        <v>2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</row>
    <row r="13" spans="1:55" ht="15" customHeight="1" x14ac:dyDescent="0.3">
      <c r="A13" s="90" t="s">
        <v>15</v>
      </c>
      <c r="B13" s="1" t="s">
        <v>92</v>
      </c>
      <c r="C13" s="1" t="s">
        <v>67</v>
      </c>
      <c r="D13" s="19">
        <f>'Pila-Sprint1'!C8</f>
        <v>4</v>
      </c>
      <c r="E13" s="19">
        <v>4</v>
      </c>
      <c r="F13" s="19">
        <v>4</v>
      </c>
      <c r="G13" s="19">
        <v>4</v>
      </c>
      <c r="H13" s="19">
        <v>4</v>
      </c>
      <c r="I13" s="19">
        <v>4</v>
      </c>
      <c r="J13" s="19">
        <v>4</v>
      </c>
      <c r="K13" s="19">
        <v>4</v>
      </c>
      <c r="L13" s="19">
        <v>4</v>
      </c>
      <c r="M13" s="19">
        <v>4</v>
      </c>
      <c r="N13" s="19">
        <v>4</v>
      </c>
      <c r="O13" s="19">
        <v>4</v>
      </c>
      <c r="P13" s="19">
        <v>4</v>
      </c>
      <c r="Q13" s="19">
        <v>4</v>
      </c>
      <c r="R13" s="19">
        <v>4</v>
      </c>
      <c r="S13" s="19">
        <v>4</v>
      </c>
      <c r="T13" s="19">
        <v>4</v>
      </c>
      <c r="U13" s="19">
        <v>4</v>
      </c>
      <c r="V13" s="19">
        <v>4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</row>
    <row r="14" spans="1:55" x14ac:dyDescent="0.3">
      <c r="A14" s="90" t="s">
        <v>16</v>
      </c>
      <c r="B14" s="1" t="s">
        <v>77</v>
      </c>
      <c r="C14" s="1" t="s">
        <v>67</v>
      </c>
      <c r="D14" s="19">
        <f>'Pila-Sprint1'!C9</f>
        <v>2</v>
      </c>
      <c r="E14" s="19">
        <v>2</v>
      </c>
      <c r="F14" s="19">
        <v>2</v>
      </c>
      <c r="G14" s="19">
        <v>2</v>
      </c>
      <c r="H14" s="19">
        <v>2</v>
      </c>
      <c r="I14" s="19">
        <v>2</v>
      </c>
      <c r="J14" s="19">
        <v>2</v>
      </c>
      <c r="K14" s="19">
        <v>2</v>
      </c>
      <c r="L14" s="19">
        <v>2</v>
      </c>
      <c r="M14" s="19">
        <v>2</v>
      </c>
      <c r="N14" s="19">
        <v>2</v>
      </c>
      <c r="O14" s="19">
        <v>2</v>
      </c>
      <c r="P14" s="19">
        <v>2</v>
      </c>
      <c r="Q14" s="19">
        <v>2</v>
      </c>
      <c r="R14" s="19">
        <v>2</v>
      </c>
      <c r="S14" s="19">
        <v>2</v>
      </c>
      <c r="T14" s="19">
        <v>2</v>
      </c>
      <c r="U14" s="19">
        <v>2</v>
      </c>
      <c r="V14" s="19">
        <v>2</v>
      </c>
      <c r="W14" s="19">
        <v>2</v>
      </c>
      <c r="X14" s="19">
        <v>2</v>
      </c>
      <c r="Y14" s="19">
        <v>2</v>
      </c>
      <c r="Z14" s="19">
        <v>4</v>
      </c>
      <c r="AA14" s="19">
        <v>4</v>
      </c>
      <c r="AB14" s="19">
        <v>4</v>
      </c>
      <c r="AC14" s="19">
        <v>4</v>
      </c>
      <c r="AD14" s="19">
        <v>2</v>
      </c>
      <c r="AE14" s="19">
        <v>2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</row>
    <row r="15" spans="1:55" x14ac:dyDescent="0.3">
      <c r="A15" s="90" t="s">
        <v>17</v>
      </c>
      <c r="B15" s="1" t="s">
        <v>81</v>
      </c>
      <c r="C15" s="1" t="s">
        <v>66</v>
      </c>
      <c r="D15" s="19">
        <f>'Pila-Sprint1'!C11</f>
        <v>2</v>
      </c>
      <c r="E15" s="19">
        <v>2</v>
      </c>
      <c r="F15" s="19">
        <v>2</v>
      </c>
      <c r="G15" s="19">
        <v>2</v>
      </c>
      <c r="H15" s="19">
        <v>2</v>
      </c>
      <c r="I15" s="19">
        <v>2</v>
      </c>
      <c r="J15" s="19">
        <v>2</v>
      </c>
      <c r="K15" s="19">
        <v>2</v>
      </c>
      <c r="L15" s="19">
        <v>2</v>
      </c>
      <c r="M15" s="19">
        <v>2</v>
      </c>
      <c r="N15" s="19">
        <v>2</v>
      </c>
      <c r="O15" s="19">
        <v>2</v>
      </c>
      <c r="P15" s="19">
        <v>2</v>
      </c>
      <c r="Q15" s="19">
        <v>2</v>
      </c>
      <c r="R15" s="19">
        <v>2</v>
      </c>
      <c r="S15" s="19">
        <v>2</v>
      </c>
      <c r="T15" s="19">
        <v>2</v>
      </c>
      <c r="U15" s="19">
        <v>2</v>
      </c>
      <c r="V15" s="19">
        <v>2</v>
      </c>
      <c r="W15" s="19">
        <v>2</v>
      </c>
      <c r="X15" s="19">
        <v>2</v>
      </c>
      <c r="Y15" s="19">
        <v>2</v>
      </c>
      <c r="Z15" s="19">
        <v>4</v>
      </c>
      <c r="AA15" s="19">
        <v>4</v>
      </c>
      <c r="AB15" s="19">
        <v>4</v>
      </c>
      <c r="AC15" s="19">
        <v>4</v>
      </c>
      <c r="AD15" s="19">
        <v>4</v>
      </c>
      <c r="AE15" s="19">
        <v>4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</row>
    <row r="16" spans="1:55" x14ac:dyDescent="0.3">
      <c r="A16" s="90" t="s">
        <v>18</v>
      </c>
      <c r="B16" s="1" t="s">
        <v>78</v>
      </c>
      <c r="C16" s="1" t="s">
        <v>66</v>
      </c>
      <c r="D16" s="19">
        <f>'Pila-Sprint1'!C12</f>
        <v>1</v>
      </c>
      <c r="E16" s="19">
        <v>1</v>
      </c>
      <c r="F16" s="19">
        <v>1</v>
      </c>
      <c r="G16" s="19">
        <v>1</v>
      </c>
      <c r="H16" s="19">
        <v>1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1</v>
      </c>
      <c r="Q16" s="19">
        <v>1</v>
      </c>
      <c r="R16" s="19">
        <v>1</v>
      </c>
      <c r="S16" s="19">
        <v>1</v>
      </c>
      <c r="T16" s="19">
        <v>1</v>
      </c>
      <c r="U16" s="19">
        <v>1</v>
      </c>
      <c r="V16" s="19">
        <v>1</v>
      </c>
      <c r="W16" s="19">
        <v>1</v>
      </c>
      <c r="X16" s="19">
        <v>1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1</v>
      </c>
      <c r="AE16" s="19">
        <v>1</v>
      </c>
      <c r="AF16" s="19">
        <v>1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</row>
    <row r="17" spans="1:55" x14ac:dyDescent="0.3">
      <c r="A17" s="90" t="s">
        <v>79</v>
      </c>
      <c r="B17" s="1" t="s">
        <v>80</v>
      </c>
      <c r="C17" s="1" t="s">
        <v>66</v>
      </c>
      <c r="D17" s="19">
        <f>'Pila-Sprint1'!C13</f>
        <v>2</v>
      </c>
      <c r="E17" s="19">
        <v>2</v>
      </c>
      <c r="F17" s="19">
        <v>2</v>
      </c>
      <c r="G17" s="19">
        <v>2</v>
      </c>
      <c r="H17" s="19">
        <v>2</v>
      </c>
      <c r="I17" s="19">
        <v>2</v>
      </c>
      <c r="J17" s="19">
        <v>2</v>
      </c>
      <c r="K17" s="19">
        <v>2</v>
      </c>
      <c r="L17" s="19">
        <v>2</v>
      </c>
      <c r="M17" s="19">
        <v>2</v>
      </c>
      <c r="N17" s="19">
        <v>2</v>
      </c>
      <c r="O17" s="19">
        <v>2</v>
      </c>
      <c r="P17" s="19">
        <v>2</v>
      </c>
      <c r="Q17" s="19">
        <v>2</v>
      </c>
      <c r="R17" s="19">
        <v>2</v>
      </c>
      <c r="S17" s="19">
        <v>2</v>
      </c>
      <c r="T17" s="19">
        <v>2</v>
      </c>
      <c r="U17" s="19">
        <v>2</v>
      </c>
      <c r="V17" s="19">
        <v>2</v>
      </c>
      <c r="W17" s="19">
        <v>2</v>
      </c>
      <c r="X17" s="19">
        <v>2</v>
      </c>
      <c r="Y17" s="19">
        <v>2</v>
      </c>
      <c r="Z17" s="19">
        <v>2</v>
      </c>
      <c r="AA17" s="19">
        <v>2</v>
      </c>
      <c r="AB17" s="19">
        <v>2</v>
      </c>
      <c r="AC17" s="19">
        <v>2</v>
      </c>
      <c r="AD17" s="19">
        <v>2</v>
      </c>
      <c r="AE17" s="19">
        <v>2</v>
      </c>
      <c r="AF17" s="19">
        <v>2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</row>
    <row r="18" spans="1:55" x14ac:dyDescent="0.3">
      <c r="A18" s="90" t="s">
        <v>19</v>
      </c>
      <c r="B18" s="1" t="s">
        <v>82</v>
      </c>
      <c r="C18" s="1" t="s">
        <v>55</v>
      </c>
      <c r="D18" s="19">
        <f>'Pila-Sprint1'!C15</f>
        <v>2</v>
      </c>
      <c r="E18" s="19">
        <v>2</v>
      </c>
      <c r="F18" s="19">
        <v>2</v>
      </c>
      <c r="G18" s="19">
        <v>2</v>
      </c>
      <c r="H18" s="19">
        <v>2</v>
      </c>
      <c r="I18" s="19">
        <v>2</v>
      </c>
      <c r="J18" s="19">
        <v>2</v>
      </c>
      <c r="K18" s="19">
        <v>2</v>
      </c>
      <c r="L18" s="19">
        <v>2</v>
      </c>
      <c r="M18" s="19">
        <v>2</v>
      </c>
      <c r="N18" s="19">
        <v>2</v>
      </c>
      <c r="O18" s="19">
        <v>2</v>
      </c>
      <c r="P18" s="19">
        <v>2</v>
      </c>
      <c r="Q18" s="19">
        <v>2</v>
      </c>
      <c r="R18" s="19">
        <v>2</v>
      </c>
      <c r="S18" s="19">
        <v>2</v>
      </c>
      <c r="T18" s="19">
        <v>2</v>
      </c>
      <c r="U18" s="19">
        <v>2</v>
      </c>
      <c r="V18" s="19">
        <v>2</v>
      </c>
      <c r="W18" s="19">
        <v>2</v>
      </c>
      <c r="X18" s="19">
        <v>2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</row>
    <row r="19" spans="1:55" x14ac:dyDescent="0.3">
      <c r="A19" s="90" t="s">
        <v>20</v>
      </c>
      <c r="B19" s="1" t="s">
        <v>83</v>
      </c>
      <c r="C19" s="1" t="s">
        <v>64</v>
      </c>
      <c r="D19" s="19">
        <f>'Pila-Sprint1'!C17</f>
        <v>0</v>
      </c>
      <c r="E19" s="19">
        <v>4</v>
      </c>
      <c r="F19" s="19">
        <v>4</v>
      </c>
      <c r="G19" s="19">
        <v>4</v>
      </c>
      <c r="H19" s="19">
        <v>4</v>
      </c>
      <c r="I19" s="19">
        <v>4</v>
      </c>
      <c r="J19" s="19">
        <v>4</v>
      </c>
      <c r="K19" s="19">
        <v>4</v>
      </c>
      <c r="L19" s="19">
        <v>4</v>
      </c>
      <c r="M19" s="19">
        <v>4</v>
      </c>
      <c r="N19" s="19">
        <v>4</v>
      </c>
      <c r="O19" s="19">
        <v>4</v>
      </c>
      <c r="P19" s="19">
        <v>4</v>
      </c>
      <c r="Q19" s="19">
        <v>4</v>
      </c>
      <c r="R19" s="19">
        <v>4</v>
      </c>
      <c r="S19" s="19">
        <v>4</v>
      </c>
      <c r="T19" s="19">
        <v>4</v>
      </c>
      <c r="U19" s="19">
        <v>4</v>
      </c>
      <c r="V19" s="19">
        <v>4</v>
      </c>
      <c r="W19" s="19">
        <v>4</v>
      </c>
      <c r="X19" s="19">
        <v>4</v>
      </c>
      <c r="Y19" s="19">
        <v>4</v>
      </c>
      <c r="Z19" s="19">
        <v>4</v>
      </c>
      <c r="AA19" s="19">
        <v>4</v>
      </c>
      <c r="AB19" s="19">
        <v>4</v>
      </c>
      <c r="AC19" s="19">
        <v>4</v>
      </c>
      <c r="AD19" s="19">
        <v>4</v>
      </c>
      <c r="AE19" s="19">
        <v>4</v>
      </c>
      <c r="AF19" s="19">
        <v>4</v>
      </c>
      <c r="AG19" s="19">
        <v>4</v>
      </c>
      <c r="AH19" s="19">
        <v>4</v>
      </c>
      <c r="AI19" s="19">
        <v>4</v>
      </c>
      <c r="AJ19" s="19">
        <v>4</v>
      </c>
      <c r="AK19" s="19">
        <v>4</v>
      </c>
      <c r="AL19" s="19">
        <v>4</v>
      </c>
      <c r="AM19" s="19">
        <v>4</v>
      </c>
      <c r="AN19" s="19">
        <v>4</v>
      </c>
      <c r="AO19" s="19">
        <v>4</v>
      </c>
      <c r="AP19" s="19">
        <v>4</v>
      </c>
      <c r="AQ19" s="19">
        <v>4</v>
      </c>
      <c r="AR19" s="19">
        <v>4</v>
      </c>
      <c r="AS19" s="19">
        <v>4</v>
      </c>
      <c r="AT19" s="19">
        <v>4</v>
      </c>
      <c r="AU19" s="19">
        <v>4</v>
      </c>
      <c r="AV19" s="19">
        <v>4</v>
      </c>
      <c r="AW19" s="19">
        <v>4</v>
      </c>
      <c r="AX19" s="19">
        <v>4</v>
      </c>
      <c r="AY19" s="19">
        <v>4</v>
      </c>
      <c r="AZ19" s="19">
        <v>4</v>
      </c>
      <c r="BA19" s="19">
        <v>4</v>
      </c>
      <c r="BB19" s="19">
        <v>4</v>
      </c>
      <c r="BC19" s="19">
        <v>4</v>
      </c>
    </row>
    <row r="20" spans="1:55" x14ac:dyDescent="0.3">
      <c r="A20" s="90" t="s">
        <v>21</v>
      </c>
      <c r="B20" s="1" t="s">
        <v>84</v>
      </c>
      <c r="C20" s="1" t="s">
        <v>64</v>
      </c>
      <c r="D20" s="19">
        <f>'Pila-Sprint1'!C18</f>
        <v>0</v>
      </c>
      <c r="E20" s="19">
        <v>2</v>
      </c>
      <c r="F20" s="19">
        <v>2</v>
      </c>
      <c r="G20" s="19">
        <v>2</v>
      </c>
      <c r="H20" s="19">
        <v>2</v>
      </c>
      <c r="I20" s="19">
        <v>2</v>
      </c>
      <c r="J20" s="19">
        <v>2</v>
      </c>
      <c r="K20" s="19">
        <v>2</v>
      </c>
      <c r="L20" s="19">
        <v>2</v>
      </c>
      <c r="M20" s="19">
        <v>2</v>
      </c>
      <c r="N20" s="19">
        <v>2</v>
      </c>
      <c r="O20" s="19">
        <v>2</v>
      </c>
      <c r="P20" s="19">
        <v>2</v>
      </c>
      <c r="Q20" s="19">
        <v>2</v>
      </c>
      <c r="R20" s="19">
        <v>2</v>
      </c>
      <c r="S20" s="19">
        <v>2</v>
      </c>
      <c r="T20" s="19">
        <v>2</v>
      </c>
      <c r="U20" s="19">
        <v>2</v>
      </c>
      <c r="V20" s="19">
        <v>2</v>
      </c>
      <c r="W20" s="19">
        <v>2</v>
      </c>
      <c r="X20" s="19">
        <v>2</v>
      </c>
      <c r="Y20" s="19">
        <v>2</v>
      </c>
      <c r="Z20" s="19">
        <v>2</v>
      </c>
      <c r="AA20" s="19">
        <v>2</v>
      </c>
      <c r="AB20" s="19">
        <v>2</v>
      </c>
      <c r="AC20" s="19">
        <v>2</v>
      </c>
      <c r="AD20" s="19">
        <v>2</v>
      </c>
      <c r="AE20" s="19">
        <v>2</v>
      </c>
      <c r="AF20" s="19">
        <v>2</v>
      </c>
      <c r="AG20" s="19">
        <v>2</v>
      </c>
      <c r="AH20" s="19">
        <v>2</v>
      </c>
      <c r="AI20" s="19">
        <v>2</v>
      </c>
      <c r="AJ20" s="19">
        <v>2</v>
      </c>
      <c r="AK20" s="19">
        <v>2</v>
      </c>
      <c r="AL20" s="19">
        <v>2</v>
      </c>
      <c r="AM20" s="19">
        <v>2</v>
      </c>
      <c r="AN20" s="19">
        <v>2</v>
      </c>
      <c r="AO20" s="19">
        <v>2</v>
      </c>
      <c r="AP20" s="19">
        <v>2</v>
      </c>
      <c r="AQ20" s="19">
        <v>2</v>
      </c>
      <c r="AR20" s="19">
        <v>2</v>
      </c>
      <c r="AS20" s="19">
        <v>2</v>
      </c>
      <c r="AT20" s="19">
        <v>2</v>
      </c>
      <c r="AU20" s="19">
        <v>2</v>
      </c>
      <c r="AV20" s="19">
        <v>2</v>
      </c>
      <c r="AW20" s="19">
        <v>2</v>
      </c>
      <c r="AX20" s="19">
        <v>2</v>
      </c>
      <c r="AY20" s="19">
        <v>2</v>
      </c>
      <c r="AZ20" s="19">
        <v>2</v>
      </c>
      <c r="BA20" s="19">
        <v>2</v>
      </c>
      <c r="BB20" s="19">
        <v>2</v>
      </c>
      <c r="BC20" s="19">
        <v>2</v>
      </c>
    </row>
    <row r="21" spans="1:55" x14ac:dyDescent="0.3">
      <c r="A21" s="90" t="s">
        <v>22</v>
      </c>
      <c r="B21" s="1" t="s">
        <v>85</v>
      </c>
      <c r="C21" s="1" t="s">
        <v>64</v>
      </c>
      <c r="D21" s="19">
        <f>'Pila-Sprint1'!C20</f>
        <v>0</v>
      </c>
      <c r="E21" s="19">
        <v>2</v>
      </c>
      <c r="F21" s="19">
        <v>2</v>
      </c>
      <c r="G21" s="19">
        <v>2</v>
      </c>
      <c r="H21" s="19">
        <v>2</v>
      </c>
      <c r="I21" s="19">
        <v>2</v>
      </c>
      <c r="J21" s="19">
        <v>2</v>
      </c>
      <c r="K21" s="19">
        <v>2</v>
      </c>
      <c r="L21" s="19">
        <v>2</v>
      </c>
      <c r="M21" s="19">
        <v>2</v>
      </c>
      <c r="N21" s="19">
        <v>2</v>
      </c>
      <c r="O21" s="19">
        <v>2</v>
      </c>
      <c r="P21" s="19">
        <v>2</v>
      </c>
      <c r="Q21" s="19">
        <v>2</v>
      </c>
      <c r="R21" s="19">
        <v>2</v>
      </c>
      <c r="S21" s="19">
        <v>2</v>
      </c>
      <c r="T21" s="19">
        <v>2</v>
      </c>
      <c r="U21" s="19">
        <v>2</v>
      </c>
      <c r="V21" s="19">
        <v>2</v>
      </c>
      <c r="W21" s="19">
        <v>2</v>
      </c>
      <c r="X21" s="19">
        <v>2</v>
      </c>
      <c r="Y21" s="19">
        <v>2</v>
      </c>
      <c r="Z21" s="19">
        <v>2</v>
      </c>
      <c r="AA21" s="19">
        <v>2</v>
      </c>
      <c r="AB21" s="19">
        <v>2</v>
      </c>
      <c r="AC21" s="19">
        <v>2</v>
      </c>
      <c r="AD21" s="19">
        <v>2</v>
      </c>
      <c r="AE21" s="19">
        <v>2</v>
      </c>
      <c r="AF21" s="19">
        <v>2</v>
      </c>
      <c r="AG21" s="19">
        <v>2</v>
      </c>
      <c r="AH21" s="19">
        <v>2</v>
      </c>
      <c r="AI21" s="19">
        <v>2</v>
      </c>
      <c r="AJ21" s="19">
        <v>2</v>
      </c>
      <c r="AK21" s="19">
        <v>2</v>
      </c>
      <c r="AL21" s="19">
        <v>2</v>
      </c>
      <c r="AM21" s="19">
        <v>2</v>
      </c>
      <c r="AN21" s="19">
        <v>2</v>
      </c>
      <c r="AO21" s="19">
        <v>2</v>
      </c>
      <c r="AP21" s="19">
        <v>2</v>
      </c>
      <c r="AQ21" s="19">
        <v>2</v>
      </c>
      <c r="AR21" s="19">
        <v>2</v>
      </c>
      <c r="AS21" s="19">
        <v>2</v>
      </c>
      <c r="AT21" s="19">
        <v>2</v>
      </c>
      <c r="AU21" s="19">
        <v>2</v>
      </c>
      <c r="AV21" s="19">
        <v>2</v>
      </c>
      <c r="AW21" s="19">
        <v>2</v>
      </c>
      <c r="AX21" s="19">
        <v>2</v>
      </c>
      <c r="AY21" s="19">
        <v>2</v>
      </c>
      <c r="AZ21" s="19">
        <v>2</v>
      </c>
      <c r="BA21" s="19">
        <v>2</v>
      </c>
      <c r="BB21" s="19">
        <v>2</v>
      </c>
      <c r="BC21" s="19">
        <v>2</v>
      </c>
    </row>
    <row r="22" spans="1:55" x14ac:dyDescent="0.3">
      <c r="A22" s="90" t="s">
        <v>23</v>
      </c>
      <c r="B22" s="1" t="s">
        <v>86</v>
      </c>
      <c r="C22" s="1" t="s">
        <v>64</v>
      </c>
      <c r="D22" s="19">
        <f>'Pila-Sprint1'!C21</f>
        <v>0</v>
      </c>
      <c r="E22" s="19">
        <v>2</v>
      </c>
      <c r="F22" s="19">
        <v>2</v>
      </c>
      <c r="G22" s="19">
        <v>2</v>
      </c>
      <c r="H22" s="19">
        <v>2</v>
      </c>
      <c r="I22" s="19">
        <v>2</v>
      </c>
      <c r="J22" s="19">
        <v>2</v>
      </c>
      <c r="K22" s="19">
        <v>2</v>
      </c>
      <c r="L22" s="19">
        <v>2</v>
      </c>
      <c r="M22" s="19">
        <v>2</v>
      </c>
      <c r="N22" s="19">
        <v>2</v>
      </c>
      <c r="O22" s="19">
        <v>2</v>
      </c>
      <c r="P22" s="19">
        <v>2</v>
      </c>
      <c r="Q22" s="19">
        <v>2</v>
      </c>
      <c r="R22" s="19">
        <v>2</v>
      </c>
      <c r="S22" s="19">
        <v>2</v>
      </c>
      <c r="T22" s="19">
        <v>2</v>
      </c>
      <c r="U22" s="19">
        <v>2</v>
      </c>
      <c r="V22" s="19">
        <v>2</v>
      </c>
      <c r="W22" s="19">
        <v>2</v>
      </c>
      <c r="X22" s="19">
        <v>2</v>
      </c>
      <c r="Y22" s="19">
        <v>2</v>
      </c>
      <c r="Z22" s="19">
        <v>2</v>
      </c>
      <c r="AA22" s="19">
        <v>2</v>
      </c>
      <c r="AB22" s="19">
        <v>2</v>
      </c>
      <c r="AC22" s="19">
        <v>2</v>
      </c>
      <c r="AD22" s="19">
        <v>2</v>
      </c>
      <c r="AE22" s="19">
        <v>2</v>
      </c>
      <c r="AF22" s="19">
        <v>2</v>
      </c>
      <c r="AG22" s="19">
        <v>2</v>
      </c>
      <c r="AH22" s="19">
        <v>2</v>
      </c>
      <c r="AI22" s="19">
        <v>2</v>
      </c>
      <c r="AJ22" s="19">
        <v>2</v>
      </c>
      <c r="AK22" s="19">
        <v>2</v>
      </c>
      <c r="AL22" s="19">
        <v>2</v>
      </c>
      <c r="AM22" s="19">
        <v>2</v>
      </c>
      <c r="AN22" s="19">
        <v>2</v>
      </c>
      <c r="AO22" s="19">
        <v>2</v>
      </c>
      <c r="AP22" s="19">
        <v>2</v>
      </c>
      <c r="AQ22" s="19">
        <v>2</v>
      </c>
      <c r="AR22" s="19">
        <v>2</v>
      </c>
      <c r="AS22" s="19">
        <v>2</v>
      </c>
      <c r="AT22" s="19">
        <v>2</v>
      </c>
      <c r="AU22" s="19">
        <v>2</v>
      </c>
      <c r="AV22" s="19">
        <v>2</v>
      </c>
      <c r="AW22" s="19">
        <v>2</v>
      </c>
      <c r="AX22" s="19">
        <v>2</v>
      </c>
      <c r="AY22" s="19">
        <v>2</v>
      </c>
      <c r="AZ22" s="19">
        <v>2</v>
      </c>
      <c r="BA22" s="19">
        <v>2</v>
      </c>
      <c r="BB22" s="19">
        <v>2</v>
      </c>
      <c r="BC22" s="19">
        <v>2</v>
      </c>
    </row>
    <row r="23" spans="1:55" x14ac:dyDescent="0.3">
      <c r="A23" s="90" t="s">
        <v>24</v>
      </c>
      <c r="B23" s="1" t="s">
        <v>87</v>
      </c>
      <c r="C23" s="1" t="s">
        <v>64</v>
      </c>
      <c r="D23" s="19">
        <f>'Pila-Sprint1'!C23</f>
        <v>0</v>
      </c>
      <c r="E23" s="19">
        <v>2</v>
      </c>
      <c r="F23" s="19">
        <v>2</v>
      </c>
      <c r="G23" s="19">
        <v>2</v>
      </c>
      <c r="H23" s="19">
        <v>2</v>
      </c>
      <c r="I23" s="19">
        <v>2</v>
      </c>
      <c r="J23" s="19">
        <v>2</v>
      </c>
      <c r="K23" s="19">
        <v>2</v>
      </c>
      <c r="L23" s="19">
        <v>2</v>
      </c>
      <c r="M23" s="19">
        <v>2</v>
      </c>
      <c r="N23" s="19">
        <v>2</v>
      </c>
      <c r="O23" s="19">
        <v>2</v>
      </c>
      <c r="P23" s="19">
        <v>2</v>
      </c>
      <c r="Q23" s="19">
        <v>2</v>
      </c>
      <c r="R23" s="19">
        <v>2</v>
      </c>
      <c r="S23" s="19">
        <v>2</v>
      </c>
      <c r="T23" s="19">
        <v>2</v>
      </c>
      <c r="U23" s="19">
        <v>2</v>
      </c>
      <c r="V23" s="19">
        <v>2</v>
      </c>
      <c r="W23" s="19">
        <v>2</v>
      </c>
      <c r="X23" s="19">
        <v>2</v>
      </c>
      <c r="Y23" s="19">
        <v>2</v>
      </c>
      <c r="Z23" s="19">
        <v>2</v>
      </c>
      <c r="AA23" s="19">
        <v>2</v>
      </c>
      <c r="AB23" s="19">
        <v>2</v>
      </c>
      <c r="AC23" s="19">
        <v>2</v>
      </c>
      <c r="AD23" s="19">
        <v>2</v>
      </c>
      <c r="AE23" s="19">
        <v>2</v>
      </c>
      <c r="AF23" s="19">
        <v>2</v>
      </c>
      <c r="AG23" s="19">
        <v>2</v>
      </c>
      <c r="AH23" s="19">
        <v>2</v>
      </c>
      <c r="AI23" s="19">
        <v>2</v>
      </c>
      <c r="AJ23" s="19">
        <v>2</v>
      </c>
      <c r="AK23" s="19">
        <v>2</v>
      </c>
      <c r="AL23" s="19">
        <v>2</v>
      </c>
      <c r="AM23" s="19">
        <v>2</v>
      </c>
      <c r="AN23" s="19">
        <v>2</v>
      </c>
      <c r="AO23" s="19">
        <v>2</v>
      </c>
      <c r="AP23" s="19">
        <v>2</v>
      </c>
      <c r="AQ23" s="19">
        <v>2</v>
      </c>
      <c r="AR23" s="19">
        <v>2</v>
      </c>
      <c r="AS23" s="19">
        <v>2</v>
      </c>
      <c r="AT23" s="19">
        <v>2</v>
      </c>
      <c r="AU23" s="19">
        <v>2</v>
      </c>
      <c r="AV23" s="19">
        <v>2</v>
      </c>
      <c r="AW23" s="19">
        <v>2</v>
      </c>
      <c r="AX23" s="19">
        <v>2</v>
      </c>
      <c r="AY23" s="19">
        <v>2</v>
      </c>
      <c r="AZ23" s="19">
        <v>2</v>
      </c>
      <c r="BA23" s="19">
        <v>2</v>
      </c>
      <c r="BB23" s="19">
        <v>2</v>
      </c>
      <c r="BC23" s="19">
        <v>2</v>
      </c>
    </row>
    <row r="24" spans="1:55" x14ac:dyDescent="0.3">
      <c r="A24" s="90" t="s">
        <v>25</v>
      </c>
      <c r="B24" s="1" t="s">
        <v>88</v>
      </c>
      <c r="C24" s="1" t="s">
        <v>64</v>
      </c>
      <c r="D24" s="19">
        <f>'Pila-Sprint1'!C24</f>
        <v>0</v>
      </c>
      <c r="E24" s="19">
        <v>2</v>
      </c>
      <c r="F24" s="19">
        <v>2</v>
      </c>
      <c r="G24" s="19">
        <v>2</v>
      </c>
      <c r="H24" s="19">
        <v>2</v>
      </c>
      <c r="I24" s="19">
        <v>2</v>
      </c>
      <c r="J24" s="19">
        <v>2</v>
      </c>
      <c r="K24" s="19">
        <v>2</v>
      </c>
      <c r="L24" s="19">
        <v>2</v>
      </c>
      <c r="M24" s="19">
        <v>2</v>
      </c>
      <c r="N24" s="19">
        <v>2</v>
      </c>
      <c r="O24" s="19">
        <v>2</v>
      </c>
      <c r="P24" s="19">
        <v>2</v>
      </c>
      <c r="Q24" s="19">
        <v>2</v>
      </c>
      <c r="R24" s="19">
        <v>2</v>
      </c>
      <c r="S24" s="19">
        <v>2</v>
      </c>
      <c r="T24" s="19">
        <v>2</v>
      </c>
      <c r="U24" s="19">
        <v>2</v>
      </c>
      <c r="V24" s="19">
        <v>2</v>
      </c>
      <c r="W24" s="19">
        <v>2</v>
      </c>
      <c r="X24" s="19">
        <v>2</v>
      </c>
      <c r="Y24" s="19">
        <v>2</v>
      </c>
      <c r="Z24" s="19">
        <v>2</v>
      </c>
      <c r="AA24" s="19">
        <v>2</v>
      </c>
      <c r="AB24" s="19">
        <v>2</v>
      </c>
      <c r="AC24" s="19">
        <v>2</v>
      </c>
      <c r="AD24" s="19">
        <v>2</v>
      </c>
      <c r="AE24" s="19">
        <v>2</v>
      </c>
      <c r="AF24" s="19">
        <v>2</v>
      </c>
      <c r="AG24" s="19">
        <v>2</v>
      </c>
      <c r="AH24" s="19">
        <v>2</v>
      </c>
      <c r="AI24" s="19">
        <v>2</v>
      </c>
      <c r="AJ24" s="19">
        <v>2</v>
      </c>
      <c r="AK24" s="19">
        <v>2</v>
      </c>
      <c r="AL24" s="19">
        <v>2</v>
      </c>
      <c r="AM24" s="19">
        <v>2</v>
      </c>
      <c r="AN24" s="19">
        <v>2</v>
      </c>
      <c r="AO24" s="19">
        <v>2</v>
      </c>
      <c r="AP24" s="19">
        <v>2</v>
      </c>
      <c r="AQ24" s="19">
        <v>2</v>
      </c>
      <c r="AR24" s="19">
        <v>2</v>
      </c>
      <c r="AS24" s="19">
        <v>2</v>
      </c>
      <c r="AT24" s="19">
        <v>2</v>
      </c>
      <c r="AU24" s="19">
        <v>2</v>
      </c>
      <c r="AV24" s="19">
        <v>2</v>
      </c>
      <c r="AW24" s="19">
        <v>2</v>
      </c>
      <c r="AX24" s="19">
        <v>2</v>
      </c>
      <c r="AY24" s="19">
        <v>2</v>
      </c>
      <c r="AZ24" s="19">
        <v>2</v>
      </c>
      <c r="BA24" s="19">
        <v>2</v>
      </c>
      <c r="BB24" s="19">
        <v>2</v>
      </c>
      <c r="BC24" s="19">
        <v>2</v>
      </c>
    </row>
    <row r="25" spans="1:55" x14ac:dyDescent="0.3">
      <c r="A25" s="90" t="s">
        <v>116</v>
      </c>
      <c r="B25" s="1" t="s">
        <v>96</v>
      </c>
      <c r="C25" s="1" t="s">
        <v>64</v>
      </c>
      <c r="D25" s="19">
        <f>'Pila-Sprint1'!C26</f>
        <v>0</v>
      </c>
      <c r="E25" s="19">
        <v>4</v>
      </c>
      <c r="F25" s="19">
        <v>4</v>
      </c>
      <c r="G25" s="19">
        <v>4</v>
      </c>
      <c r="H25" s="19">
        <v>4</v>
      </c>
      <c r="I25" s="19">
        <v>4</v>
      </c>
      <c r="J25" s="19">
        <v>4</v>
      </c>
      <c r="K25" s="19">
        <v>4</v>
      </c>
      <c r="L25" s="19">
        <v>4</v>
      </c>
      <c r="M25" s="19">
        <v>4</v>
      </c>
      <c r="N25" s="19">
        <v>4</v>
      </c>
      <c r="O25" s="19">
        <v>4</v>
      </c>
      <c r="P25" s="19">
        <v>4</v>
      </c>
      <c r="Q25" s="19">
        <v>4</v>
      </c>
      <c r="R25" s="19">
        <v>4</v>
      </c>
      <c r="S25" s="19">
        <v>4</v>
      </c>
      <c r="T25" s="19">
        <v>4</v>
      </c>
      <c r="U25" s="19">
        <v>4</v>
      </c>
      <c r="V25" s="19">
        <v>4</v>
      </c>
      <c r="W25" s="19">
        <v>4</v>
      </c>
      <c r="X25" s="19">
        <v>4</v>
      </c>
      <c r="Y25" s="19">
        <v>4</v>
      </c>
      <c r="Z25" s="19">
        <v>4</v>
      </c>
      <c r="AA25" s="19">
        <v>4</v>
      </c>
      <c r="AB25" s="19">
        <v>4</v>
      </c>
      <c r="AC25" s="19">
        <v>4</v>
      </c>
      <c r="AD25" s="19">
        <v>4</v>
      </c>
      <c r="AE25" s="19">
        <v>4</v>
      </c>
      <c r="AF25" s="19">
        <v>4</v>
      </c>
      <c r="AG25" s="19">
        <v>4</v>
      </c>
      <c r="AH25" s="19">
        <v>4</v>
      </c>
      <c r="AI25" s="19">
        <v>4</v>
      </c>
      <c r="AJ25" s="19">
        <v>4</v>
      </c>
      <c r="AK25" s="19">
        <v>4</v>
      </c>
      <c r="AL25" s="19">
        <v>4</v>
      </c>
      <c r="AM25" s="19">
        <v>4</v>
      </c>
      <c r="AN25" s="19">
        <v>4</v>
      </c>
      <c r="AO25" s="19">
        <v>4</v>
      </c>
      <c r="AP25" s="19">
        <v>4</v>
      </c>
      <c r="AQ25" s="19">
        <v>4</v>
      </c>
      <c r="AR25" s="19">
        <v>4</v>
      </c>
      <c r="AS25" s="19">
        <v>4</v>
      </c>
      <c r="AT25" s="19">
        <v>4</v>
      </c>
      <c r="AU25" s="19">
        <v>4</v>
      </c>
      <c r="AV25" s="19">
        <v>4</v>
      </c>
      <c r="AW25" s="19">
        <v>4</v>
      </c>
      <c r="AX25" s="19">
        <v>4</v>
      </c>
      <c r="AY25" s="19">
        <v>4</v>
      </c>
      <c r="AZ25" s="19">
        <v>4</v>
      </c>
      <c r="BA25" s="19">
        <v>4</v>
      </c>
      <c r="BB25" s="19">
        <v>4</v>
      </c>
      <c r="BC25" s="19">
        <v>4</v>
      </c>
    </row>
    <row r="26" spans="1:55" x14ac:dyDescent="0.3">
      <c r="A26" s="90" t="s">
        <v>117</v>
      </c>
      <c r="B26" s="1" t="s">
        <v>93</v>
      </c>
      <c r="C26" s="1" t="s">
        <v>64</v>
      </c>
      <c r="D26" s="19">
        <f>'Pila-Sprint1'!C27</f>
        <v>0</v>
      </c>
      <c r="E26" s="19">
        <v>2</v>
      </c>
      <c r="F26" s="19">
        <v>2</v>
      </c>
      <c r="G26" s="19">
        <v>2</v>
      </c>
      <c r="H26" s="19">
        <v>2</v>
      </c>
      <c r="I26" s="19">
        <v>2</v>
      </c>
      <c r="J26" s="19">
        <v>2</v>
      </c>
      <c r="K26" s="19">
        <v>2</v>
      </c>
      <c r="L26" s="19">
        <v>2</v>
      </c>
      <c r="M26" s="19">
        <v>2</v>
      </c>
      <c r="N26" s="19">
        <v>2</v>
      </c>
      <c r="O26" s="19">
        <v>2</v>
      </c>
      <c r="P26" s="19">
        <v>2</v>
      </c>
      <c r="Q26" s="19">
        <v>2</v>
      </c>
      <c r="R26" s="19">
        <v>2</v>
      </c>
      <c r="S26" s="19">
        <v>2</v>
      </c>
      <c r="T26" s="19">
        <v>2</v>
      </c>
      <c r="U26" s="19">
        <v>2</v>
      </c>
      <c r="V26" s="19">
        <v>2</v>
      </c>
      <c r="W26" s="19">
        <v>2</v>
      </c>
      <c r="X26" s="19">
        <v>2</v>
      </c>
      <c r="Y26" s="19">
        <v>2</v>
      </c>
      <c r="Z26" s="19">
        <v>2</v>
      </c>
      <c r="AA26" s="19">
        <v>2</v>
      </c>
      <c r="AB26" s="19">
        <v>2</v>
      </c>
      <c r="AC26" s="19">
        <v>2</v>
      </c>
      <c r="AD26" s="19">
        <v>2</v>
      </c>
      <c r="AE26" s="19">
        <v>2</v>
      </c>
      <c r="AF26" s="19">
        <v>2</v>
      </c>
      <c r="AG26" s="19">
        <v>2</v>
      </c>
      <c r="AH26" s="19">
        <v>2</v>
      </c>
      <c r="AI26" s="19">
        <v>2</v>
      </c>
      <c r="AJ26" s="19">
        <v>2</v>
      </c>
      <c r="AK26" s="19">
        <v>2</v>
      </c>
      <c r="AL26" s="19">
        <v>2</v>
      </c>
      <c r="AM26" s="19">
        <v>2</v>
      </c>
      <c r="AN26" s="19">
        <v>2</v>
      </c>
      <c r="AO26" s="19">
        <v>2</v>
      </c>
      <c r="AP26" s="19">
        <v>2</v>
      </c>
      <c r="AQ26" s="19">
        <v>2</v>
      </c>
      <c r="AR26" s="19">
        <v>2</v>
      </c>
      <c r="AS26" s="19">
        <v>2</v>
      </c>
      <c r="AT26" s="19">
        <v>2</v>
      </c>
      <c r="AU26" s="19">
        <v>2</v>
      </c>
      <c r="AV26" s="19">
        <v>2</v>
      </c>
      <c r="AW26" s="19">
        <v>2</v>
      </c>
      <c r="AX26" s="19">
        <v>2</v>
      </c>
      <c r="AY26" s="19">
        <v>2</v>
      </c>
      <c r="AZ26" s="19">
        <v>2</v>
      </c>
      <c r="BA26" s="19">
        <v>2</v>
      </c>
      <c r="BB26" s="19">
        <v>2</v>
      </c>
      <c r="BC26" s="19">
        <v>2</v>
      </c>
    </row>
    <row r="27" spans="1:55" x14ac:dyDescent="0.3">
      <c r="A27" s="90" t="s">
        <v>118</v>
      </c>
      <c r="B27" s="1" t="s">
        <v>94</v>
      </c>
      <c r="C27" s="1" t="s">
        <v>64</v>
      </c>
      <c r="D27" s="19">
        <f>'Pila-Sprint1'!C28</f>
        <v>0</v>
      </c>
      <c r="E27" s="19">
        <v>2</v>
      </c>
      <c r="F27" s="19">
        <v>2</v>
      </c>
      <c r="G27" s="19">
        <v>2</v>
      </c>
      <c r="H27" s="19">
        <v>2</v>
      </c>
      <c r="I27" s="19">
        <v>2</v>
      </c>
      <c r="J27" s="19">
        <v>2</v>
      </c>
      <c r="K27" s="19">
        <v>2</v>
      </c>
      <c r="L27" s="19">
        <v>2</v>
      </c>
      <c r="M27" s="19">
        <v>2</v>
      </c>
      <c r="N27" s="19">
        <v>2</v>
      </c>
      <c r="O27" s="19">
        <v>2</v>
      </c>
      <c r="P27" s="19">
        <v>2</v>
      </c>
      <c r="Q27" s="19">
        <v>2</v>
      </c>
      <c r="R27" s="19">
        <v>2</v>
      </c>
      <c r="S27" s="19">
        <v>2</v>
      </c>
      <c r="T27" s="19">
        <v>2</v>
      </c>
      <c r="U27" s="19">
        <v>2</v>
      </c>
      <c r="V27" s="19">
        <v>2</v>
      </c>
      <c r="W27" s="19">
        <v>2</v>
      </c>
      <c r="X27" s="19">
        <v>2</v>
      </c>
      <c r="Y27" s="19">
        <v>2</v>
      </c>
      <c r="Z27" s="19">
        <v>2</v>
      </c>
      <c r="AA27" s="19">
        <v>2</v>
      </c>
      <c r="AB27" s="19">
        <v>2</v>
      </c>
      <c r="AC27" s="19">
        <v>2</v>
      </c>
      <c r="AD27" s="19">
        <v>2</v>
      </c>
      <c r="AE27" s="19">
        <v>2</v>
      </c>
      <c r="AF27" s="19">
        <v>2</v>
      </c>
      <c r="AG27" s="19">
        <v>2</v>
      </c>
      <c r="AH27" s="19">
        <v>2</v>
      </c>
      <c r="AI27" s="19">
        <v>2</v>
      </c>
      <c r="AJ27" s="19">
        <v>2</v>
      </c>
      <c r="AK27" s="19">
        <v>2</v>
      </c>
      <c r="AL27" s="19">
        <v>2</v>
      </c>
      <c r="AM27" s="19">
        <v>2</v>
      </c>
      <c r="AN27" s="19">
        <v>2</v>
      </c>
      <c r="AO27" s="19">
        <v>2</v>
      </c>
      <c r="AP27" s="19">
        <v>2</v>
      </c>
      <c r="AQ27" s="19">
        <v>2</v>
      </c>
      <c r="AR27" s="19">
        <v>2</v>
      </c>
      <c r="AS27" s="19">
        <v>2</v>
      </c>
      <c r="AT27" s="19">
        <v>2</v>
      </c>
      <c r="AU27" s="19">
        <v>2</v>
      </c>
      <c r="AV27" s="19">
        <v>2</v>
      </c>
      <c r="AW27" s="19">
        <v>2</v>
      </c>
      <c r="AX27" s="19">
        <v>2</v>
      </c>
      <c r="AY27" s="19">
        <v>2</v>
      </c>
      <c r="AZ27" s="19">
        <v>2</v>
      </c>
      <c r="BA27" s="19">
        <v>2</v>
      </c>
      <c r="BB27" s="19">
        <v>2</v>
      </c>
      <c r="BC27" s="19">
        <v>2</v>
      </c>
    </row>
    <row r="28" spans="1:55" x14ac:dyDescent="0.3">
      <c r="A28" s="90" t="s">
        <v>119</v>
      </c>
      <c r="B28" s="1" t="s">
        <v>95</v>
      </c>
      <c r="C28" s="1" t="s">
        <v>64</v>
      </c>
      <c r="D28" s="19">
        <f>'Pila-Sprint1'!C29</f>
        <v>0</v>
      </c>
      <c r="E28" s="19">
        <v>2</v>
      </c>
      <c r="F28" s="19">
        <v>2</v>
      </c>
      <c r="G28" s="19">
        <v>2</v>
      </c>
      <c r="H28" s="19">
        <v>2</v>
      </c>
      <c r="I28" s="19">
        <v>2</v>
      </c>
      <c r="J28" s="19">
        <v>2</v>
      </c>
      <c r="K28" s="19">
        <v>2</v>
      </c>
      <c r="L28" s="19">
        <v>2</v>
      </c>
      <c r="M28" s="19">
        <v>2</v>
      </c>
      <c r="N28" s="19">
        <v>2</v>
      </c>
      <c r="O28" s="19">
        <v>2</v>
      </c>
      <c r="P28" s="19">
        <v>2</v>
      </c>
      <c r="Q28" s="19">
        <v>2</v>
      </c>
      <c r="R28" s="19">
        <v>2</v>
      </c>
      <c r="S28" s="19">
        <v>2</v>
      </c>
      <c r="T28" s="19">
        <v>2</v>
      </c>
      <c r="U28" s="19">
        <v>2</v>
      </c>
      <c r="V28" s="19">
        <v>2</v>
      </c>
      <c r="W28" s="19">
        <v>2</v>
      </c>
      <c r="X28" s="19">
        <v>2</v>
      </c>
      <c r="Y28" s="19">
        <v>2</v>
      </c>
      <c r="Z28" s="19">
        <v>2</v>
      </c>
      <c r="AA28" s="19">
        <v>2</v>
      </c>
      <c r="AB28" s="19">
        <v>2</v>
      </c>
      <c r="AC28" s="19">
        <v>2</v>
      </c>
      <c r="AD28" s="19">
        <v>2</v>
      </c>
      <c r="AE28" s="19">
        <v>2</v>
      </c>
      <c r="AF28" s="19">
        <v>2</v>
      </c>
      <c r="AG28" s="19">
        <v>2</v>
      </c>
      <c r="AH28" s="19">
        <v>2</v>
      </c>
      <c r="AI28" s="19">
        <v>2</v>
      </c>
      <c r="AJ28" s="19">
        <v>2</v>
      </c>
      <c r="AK28" s="19">
        <v>2</v>
      </c>
      <c r="AL28" s="19">
        <v>2</v>
      </c>
      <c r="AM28" s="19">
        <v>2</v>
      </c>
      <c r="AN28" s="19">
        <v>2</v>
      </c>
      <c r="AO28" s="19">
        <v>2</v>
      </c>
      <c r="AP28" s="19">
        <v>2</v>
      </c>
      <c r="AQ28" s="19">
        <v>2</v>
      </c>
      <c r="AR28" s="19">
        <v>2</v>
      </c>
      <c r="AS28" s="19">
        <v>2</v>
      </c>
      <c r="AT28" s="19">
        <v>2</v>
      </c>
      <c r="AU28" s="19">
        <v>2</v>
      </c>
      <c r="AV28" s="19">
        <v>2</v>
      </c>
      <c r="AW28" s="19">
        <v>2</v>
      </c>
      <c r="AX28" s="19">
        <v>2</v>
      </c>
      <c r="AY28" s="19">
        <v>2</v>
      </c>
      <c r="AZ28" s="19">
        <v>2</v>
      </c>
      <c r="BA28" s="19">
        <v>2</v>
      </c>
      <c r="BB28" s="19">
        <v>2</v>
      </c>
      <c r="BC28" s="19">
        <v>2</v>
      </c>
    </row>
    <row r="29" spans="1:55" x14ac:dyDescent="0.3">
      <c r="A29" s="90" t="s">
        <v>120</v>
      </c>
      <c r="B29" s="1" t="s">
        <v>89</v>
      </c>
      <c r="C29" s="1" t="s">
        <v>64</v>
      </c>
      <c r="D29" s="19">
        <f>'Pila-Sprint1'!C31</f>
        <v>0</v>
      </c>
      <c r="E29" s="19">
        <v>1</v>
      </c>
      <c r="F29" s="19">
        <v>1</v>
      </c>
      <c r="G29" s="19">
        <v>1</v>
      </c>
      <c r="H29" s="19">
        <v>1</v>
      </c>
      <c r="I29" s="19">
        <v>1</v>
      </c>
      <c r="J29" s="19">
        <v>1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1</v>
      </c>
      <c r="Q29" s="19">
        <v>1</v>
      </c>
      <c r="R29" s="19">
        <v>1</v>
      </c>
      <c r="S29" s="19">
        <v>1</v>
      </c>
      <c r="T29" s="19">
        <v>1</v>
      </c>
      <c r="U29" s="19">
        <v>1</v>
      </c>
      <c r="V29" s="19">
        <v>1</v>
      </c>
      <c r="W29" s="19">
        <v>1</v>
      </c>
      <c r="X29" s="19">
        <v>1</v>
      </c>
      <c r="Y29" s="19">
        <v>1</v>
      </c>
      <c r="Z29" s="19">
        <v>1</v>
      </c>
      <c r="AA29" s="19">
        <v>1</v>
      </c>
      <c r="AB29" s="19">
        <v>1</v>
      </c>
      <c r="AC29" s="19">
        <v>1</v>
      </c>
      <c r="AD29" s="19">
        <v>1</v>
      </c>
      <c r="AE29" s="19">
        <v>1</v>
      </c>
      <c r="AF29" s="19">
        <v>1</v>
      </c>
      <c r="AG29" s="19">
        <v>1</v>
      </c>
      <c r="AH29" s="19">
        <v>1</v>
      </c>
      <c r="AI29" s="19">
        <v>1</v>
      </c>
      <c r="AJ29" s="19">
        <v>1</v>
      </c>
      <c r="AK29" s="19">
        <v>1</v>
      </c>
      <c r="AL29" s="19">
        <v>1</v>
      </c>
      <c r="AM29" s="19">
        <v>1</v>
      </c>
      <c r="AN29" s="19">
        <v>1</v>
      </c>
      <c r="AO29" s="19">
        <v>1</v>
      </c>
      <c r="AP29" s="19">
        <v>1</v>
      </c>
      <c r="AQ29" s="19">
        <v>1</v>
      </c>
      <c r="AR29" s="19">
        <v>1</v>
      </c>
      <c r="AS29" s="19">
        <v>1</v>
      </c>
      <c r="AT29" s="19">
        <v>1</v>
      </c>
      <c r="AU29" s="19">
        <v>1</v>
      </c>
      <c r="AV29" s="19">
        <v>1</v>
      </c>
      <c r="AW29" s="19">
        <v>1</v>
      </c>
      <c r="AX29" s="19">
        <v>1</v>
      </c>
      <c r="AY29" s="19">
        <v>1</v>
      </c>
      <c r="AZ29" s="19">
        <v>1</v>
      </c>
      <c r="BA29" s="19">
        <v>1</v>
      </c>
      <c r="BB29" s="19">
        <v>1</v>
      </c>
      <c r="BC29" s="19">
        <v>1</v>
      </c>
    </row>
    <row r="30" spans="1:55" x14ac:dyDescent="0.3">
      <c r="A30" s="90" t="s">
        <v>121</v>
      </c>
      <c r="B30" s="1" t="s">
        <v>90</v>
      </c>
      <c r="C30" s="1" t="s">
        <v>64</v>
      </c>
      <c r="D30" s="19">
        <f>'Pila-Sprint1'!C32</f>
        <v>0</v>
      </c>
      <c r="E30" s="19">
        <v>0.5</v>
      </c>
      <c r="F30" s="19">
        <v>0.5</v>
      </c>
      <c r="G30" s="19">
        <v>0.5</v>
      </c>
      <c r="H30" s="19">
        <v>0.5</v>
      </c>
      <c r="I30" s="19">
        <v>0.5</v>
      </c>
      <c r="J30" s="19">
        <v>0.5</v>
      </c>
      <c r="K30" s="19">
        <v>0.5</v>
      </c>
      <c r="L30" s="19">
        <v>0.5</v>
      </c>
      <c r="M30" s="19">
        <v>0.5</v>
      </c>
      <c r="N30" s="19">
        <v>0.5</v>
      </c>
      <c r="O30" s="19">
        <v>0.5</v>
      </c>
      <c r="P30" s="19">
        <v>0.5</v>
      </c>
      <c r="Q30" s="19">
        <v>0.5</v>
      </c>
      <c r="R30" s="19">
        <v>0.5</v>
      </c>
      <c r="S30" s="19">
        <v>0.5</v>
      </c>
      <c r="T30" s="19">
        <v>0.5</v>
      </c>
      <c r="U30" s="19">
        <v>0.5</v>
      </c>
      <c r="V30" s="19">
        <v>0.5</v>
      </c>
      <c r="W30" s="19">
        <v>0.5</v>
      </c>
      <c r="X30" s="19">
        <v>0.5</v>
      </c>
      <c r="Y30" s="19">
        <v>0.5</v>
      </c>
      <c r="Z30" s="19">
        <v>0.5</v>
      </c>
      <c r="AA30" s="19">
        <v>0.5</v>
      </c>
      <c r="AB30" s="19">
        <v>0.5</v>
      </c>
      <c r="AC30" s="19">
        <v>0.5</v>
      </c>
      <c r="AD30" s="19">
        <v>0.5</v>
      </c>
      <c r="AE30" s="19">
        <v>0.5</v>
      </c>
      <c r="AF30" s="19">
        <v>0.5</v>
      </c>
      <c r="AG30" s="19">
        <v>0.5</v>
      </c>
      <c r="AH30" s="19">
        <v>0.5</v>
      </c>
      <c r="AI30" s="19">
        <v>0.5</v>
      </c>
      <c r="AJ30" s="19">
        <v>0.5</v>
      </c>
      <c r="AK30" s="19">
        <v>0.5</v>
      </c>
      <c r="AL30" s="19">
        <v>0.5</v>
      </c>
      <c r="AM30" s="19">
        <v>0.5</v>
      </c>
      <c r="AN30" s="19">
        <v>0.5</v>
      </c>
      <c r="AO30" s="19">
        <v>0.5</v>
      </c>
      <c r="AP30" s="19">
        <v>0.5</v>
      </c>
      <c r="AQ30" s="19">
        <v>0.5</v>
      </c>
      <c r="AR30" s="19">
        <v>0.5</v>
      </c>
      <c r="AS30" s="19">
        <v>0.5</v>
      </c>
      <c r="AT30" s="19">
        <v>0.5</v>
      </c>
      <c r="AU30" s="19">
        <v>0.5</v>
      </c>
      <c r="AV30" s="19">
        <v>0.5</v>
      </c>
      <c r="AW30" s="19">
        <v>0.5</v>
      </c>
      <c r="AX30" s="19">
        <v>0.5</v>
      </c>
      <c r="AY30" s="19">
        <v>0.5</v>
      </c>
      <c r="AZ30" s="19">
        <v>0.5</v>
      </c>
      <c r="BA30" s="19">
        <v>0.5</v>
      </c>
      <c r="BB30" s="19">
        <v>0.5</v>
      </c>
      <c r="BC30" s="19">
        <v>0.5</v>
      </c>
    </row>
    <row r="31" spans="1:55" x14ac:dyDescent="0.3">
      <c r="A31" s="90" t="s">
        <v>122</v>
      </c>
      <c r="B31" s="1" t="s">
        <v>91</v>
      </c>
      <c r="C31" s="1" t="s">
        <v>64</v>
      </c>
      <c r="D31" s="19">
        <f>'Pila-Sprint1'!C33</f>
        <v>0</v>
      </c>
      <c r="E31" s="19">
        <v>0.5</v>
      </c>
      <c r="F31" s="19">
        <v>0.5</v>
      </c>
      <c r="G31" s="19">
        <v>0.5</v>
      </c>
      <c r="H31" s="19">
        <v>0.5</v>
      </c>
      <c r="I31" s="19">
        <v>0.5</v>
      </c>
      <c r="J31" s="19">
        <v>0.5</v>
      </c>
      <c r="K31" s="19">
        <v>0.5</v>
      </c>
      <c r="L31" s="19">
        <v>0.5</v>
      </c>
      <c r="M31" s="19">
        <v>0.5</v>
      </c>
      <c r="N31" s="19">
        <v>0.5</v>
      </c>
      <c r="O31" s="19">
        <v>0.5</v>
      </c>
      <c r="P31" s="19">
        <v>0.5</v>
      </c>
      <c r="Q31" s="19">
        <v>0.5</v>
      </c>
      <c r="R31" s="19">
        <v>0.5</v>
      </c>
      <c r="S31" s="19">
        <v>0.5</v>
      </c>
      <c r="T31" s="19">
        <v>0.5</v>
      </c>
      <c r="U31" s="19">
        <v>0.5</v>
      </c>
      <c r="V31" s="19">
        <v>0.5</v>
      </c>
      <c r="W31" s="19">
        <v>0.5</v>
      </c>
      <c r="X31" s="19">
        <v>0.5</v>
      </c>
      <c r="Y31" s="19">
        <v>0.5</v>
      </c>
      <c r="Z31" s="19">
        <v>0.5</v>
      </c>
      <c r="AA31" s="19">
        <v>0.5</v>
      </c>
      <c r="AB31" s="19">
        <v>0.5</v>
      </c>
      <c r="AC31" s="19">
        <v>0.5</v>
      </c>
      <c r="AD31" s="19">
        <v>0.5</v>
      </c>
      <c r="AE31" s="19">
        <v>0.5</v>
      </c>
      <c r="AF31" s="19">
        <v>0.5</v>
      </c>
      <c r="AG31" s="19">
        <v>0.5</v>
      </c>
      <c r="AH31" s="19">
        <v>0.5</v>
      </c>
      <c r="AI31" s="19">
        <v>0.5</v>
      </c>
      <c r="AJ31" s="19">
        <v>0.5</v>
      </c>
      <c r="AK31" s="19">
        <v>0.5</v>
      </c>
      <c r="AL31" s="19">
        <v>0.5</v>
      </c>
      <c r="AM31" s="19">
        <v>0.5</v>
      </c>
      <c r="AN31" s="19">
        <v>0.5</v>
      </c>
      <c r="AO31" s="19">
        <v>0.5</v>
      </c>
      <c r="AP31" s="19">
        <v>0.5</v>
      </c>
      <c r="AQ31" s="19">
        <v>0.5</v>
      </c>
      <c r="AR31" s="19">
        <v>0.5</v>
      </c>
      <c r="AS31" s="19">
        <v>0.5</v>
      </c>
      <c r="AT31" s="19">
        <v>0.5</v>
      </c>
      <c r="AU31" s="19">
        <v>0.5</v>
      </c>
      <c r="AV31" s="19">
        <v>0.5</v>
      </c>
      <c r="AW31" s="19">
        <v>0.5</v>
      </c>
      <c r="AX31" s="19">
        <v>0.5</v>
      </c>
      <c r="AY31" s="19">
        <v>0.5</v>
      </c>
      <c r="AZ31" s="19">
        <v>0.5</v>
      </c>
      <c r="BA31" s="19">
        <v>0.5</v>
      </c>
      <c r="BB31" s="19">
        <v>0.5</v>
      </c>
      <c r="BC31" s="19">
        <v>0.5</v>
      </c>
    </row>
    <row r="32" spans="1:55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3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BC9"/>
  </mergeCells>
  <conditionalFormatting sqref="E3:BC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topLeftCell="A2" zoomScale="70" zoomScaleNormal="70" workbookViewId="0">
      <selection activeCell="F33" sqref="F33"/>
    </sheetView>
  </sheetViews>
  <sheetFormatPr baseColWidth="10" defaultColWidth="11.44140625" defaultRowHeight="14.4" x14ac:dyDescent="0.3"/>
  <cols>
    <col min="1" max="1" width="12.33203125" style="1" customWidth="1"/>
    <col min="2" max="2" width="100.664062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55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3">
      <c r="A3" s="50"/>
      <c r="B3" s="51"/>
      <c r="C3" s="28"/>
      <c r="D3" s="28"/>
      <c r="E3" s="30" t="str">
        <f>IF(E4=0," ",CHOOSE(WEEKDAY(E4,2),"L","M","X","J","V","S","D"))</f>
        <v>J</v>
      </c>
      <c r="F3" s="30" t="str">
        <f>IF(F4=0," ",CHOOSE(WEEKDAY(F4,2),"L","M","X","J","V","S","D"))</f>
        <v>V</v>
      </c>
      <c r="G3" s="30" t="str">
        <f>IF(G4=0," ",CHOOSE(WEEKDAY(G4,2),"L","M","X","J","V","S","D"))</f>
        <v>L</v>
      </c>
      <c r="H3" s="30" t="str">
        <f t="shared" ref="H3:BC3" si="0">IF(H4=0," ",CHOOSE(WEEKDAY(H4,2),"L","M","X","J","V","S","D"))</f>
        <v>M</v>
      </c>
      <c r="I3" s="30" t="str">
        <f t="shared" si="0"/>
        <v>X</v>
      </c>
      <c r="J3" s="30" t="str">
        <f t="shared" si="0"/>
        <v>J</v>
      </c>
      <c r="K3" s="30" t="str">
        <f t="shared" si="0"/>
        <v>V</v>
      </c>
      <c r="L3" s="30" t="str">
        <f t="shared" si="0"/>
        <v>L</v>
      </c>
      <c r="M3" s="30" t="str">
        <f t="shared" si="0"/>
        <v>M</v>
      </c>
      <c r="N3" s="30" t="str">
        <f t="shared" si="0"/>
        <v>X</v>
      </c>
      <c r="O3" s="30" t="str">
        <f t="shared" si="0"/>
        <v>J</v>
      </c>
      <c r="P3" s="30" t="str">
        <f t="shared" si="0"/>
        <v>V</v>
      </c>
      <c r="Q3" s="30" t="str">
        <f t="shared" si="0"/>
        <v>S</v>
      </c>
      <c r="R3" s="30" t="str">
        <f t="shared" si="0"/>
        <v>D</v>
      </c>
      <c r="S3" s="30" t="str">
        <f t="shared" si="0"/>
        <v>L</v>
      </c>
      <c r="T3" s="30" t="str">
        <f t="shared" si="0"/>
        <v>M</v>
      </c>
      <c r="U3" s="30" t="str">
        <f t="shared" si="0"/>
        <v>X</v>
      </c>
      <c r="V3" s="30" t="str">
        <f t="shared" si="0"/>
        <v>J</v>
      </c>
      <c r="W3" s="30" t="str">
        <f t="shared" si="0"/>
        <v>V</v>
      </c>
      <c r="X3" s="30" t="str">
        <f t="shared" si="0"/>
        <v>S</v>
      </c>
      <c r="Y3" s="30" t="str">
        <f t="shared" si="0"/>
        <v>D</v>
      </c>
      <c r="Z3" s="30" t="str">
        <f t="shared" si="0"/>
        <v>L</v>
      </c>
      <c r="AA3" s="30" t="str">
        <f t="shared" si="0"/>
        <v>M</v>
      </c>
      <c r="AB3" s="30" t="str">
        <f t="shared" si="0"/>
        <v>X</v>
      </c>
      <c r="AC3" s="30" t="str">
        <f t="shared" si="0"/>
        <v>J</v>
      </c>
      <c r="AD3" s="30" t="str">
        <f t="shared" si="0"/>
        <v>V</v>
      </c>
      <c r="AE3" s="30" t="str">
        <f t="shared" si="0"/>
        <v>S</v>
      </c>
      <c r="AF3" s="30" t="str">
        <f t="shared" si="0"/>
        <v>D</v>
      </c>
      <c r="AG3" s="30" t="str">
        <f t="shared" si="0"/>
        <v>L</v>
      </c>
      <c r="AH3" s="30" t="str">
        <f t="shared" si="0"/>
        <v>M</v>
      </c>
      <c r="AI3" s="30" t="str">
        <f t="shared" si="0"/>
        <v>X</v>
      </c>
      <c r="AJ3" s="30" t="str">
        <f t="shared" si="0"/>
        <v>J</v>
      </c>
      <c r="AK3" s="30" t="str">
        <f t="shared" si="0"/>
        <v>V</v>
      </c>
      <c r="AL3" s="30" t="str">
        <f t="shared" si="0"/>
        <v>S</v>
      </c>
      <c r="AM3" s="30" t="str">
        <f t="shared" si="0"/>
        <v>D</v>
      </c>
      <c r="AN3" s="30" t="str">
        <f t="shared" si="0"/>
        <v>L</v>
      </c>
      <c r="AO3" s="30" t="str">
        <f t="shared" si="0"/>
        <v>M</v>
      </c>
      <c r="AP3" s="30" t="str">
        <f t="shared" si="0"/>
        <v>X</v>
      </c>
      <c r="AQ3" s="30" t="str">
        <f t="shared" si="0"/>
        <v>J</v>
      </c>
      <c r="AR3" s="30" t="str">
        <f t="shared" si="0"/>
        <v>V</v>
      </c>
      <c r="AS3" s="30" t="str">
        <f t="shared" si="0"/>
        <v>S</v>
      </c>
      <c r="AT3" s="30" t="str">
        <f t="shared" si="0"/>
        <v>D</v>
      </c>
      <c r="AU3" s="30" t="str">
        <f t="shared" si="0"/>
        <v>L</v>
      </c>
      <c r="AV3" s="30" t="str">
        <f t="shared" si="0"/>
        <v>M</v>
      </c>
      <c r="AW3" s="30" t="str">
        <f t="shared" si="0"/>
        <v>X</v>
      </c>
      <c r="AX3" s="30" t="str">
        <f t="shared" si="0"/>
        <v>J</v>
      </c>
      <c r="AY3" s="30" t="str">
        <f t="shared" si="0"/>
        <v>V</v>
      </c>
      <c r="AZ3" s="30" t="str">
        <f t="shared" si="0"/>
        <v>S</v>
      </c>
      <c r="BA3" s="30" t="str">
        <f t="shared" si="0"/>
        <v>D</v>
      </c>
      <c r="BB3" s="30" t="str">
        <f t="shared" si="0"/>
        <v>L</v>
      </c>
      <c r="BC3" s="30" t="str">
        <f t="shared" si="0"/>
        <v>M</v>
      </c>
    </row>
    <row r="4" spans="1:55" ht="37.799999999999997" x14ac:dyDescent="0.3">
      <c r="A4" s="31"/>
      <c r="B4" s="31"/>
      <c r="C4" s="31"/>
      <c r="D4" s="31"/>
      <c r="E4" s="32">
        <v>42278</v>
      </c>
      <c r="F4" s="32">
        <v>42279</v>
      </c>
      <c r="G4" s="32">
        <v>42282</v>
      </c>
      <c r="H4" s="32">
        <v>42283</v>
      </c>
      <c r="I4" s="32">
        <v>42284</v>
      </c>
      <c r="J4" s="32">
        <v>42285</v>
      </c>
      <c r="K4" s="32">
        <v>42286</v>
      </c>
      <c r="L4" s="32">
        <v>42289</v>
      </c>
      <c r="M4" s="32">
        <v>42290</v>
      </c>
      <c r="N4" s="32">
        <v>42291</v>
      </c>
      <c r="O4" s="32">
        <v>42292</v>
      </c>
      <c r="P4" s="32">
        <v>42293</v>
      </c>
      <c r="Q4" s="32">
        <v>42294</v>
      </c>
      <c r="R4" s="32">
        <v>42295</v>
      </c>
      <c r="S4" s="32">
        <v>42296</v>
      </c>
      <c r="T4" s="32">
        <v>42297</v>
      </c>
      <c r="U4" s="32">
        <v>42298</v>
      </c>
      <c r="V4" s="32">
        <v>42299</v>
      </c>
      <c r="W4" s="32">
        <v>42300</v>
      </c>
      <c r="X4" s="32">
        <v>42301</v>
      </c>
      <c r="Y4" s="32">
        <v>42302</v>
      </c>
      <c r="Z4" s="32">
        <v>42303</v>
      </c>
      <c r="AA4" s="32">
        <v>42304</v>
      </c>
      <c r="AB4" s="32">
        <v>42305</v>
      </c>
      <c r="AC4" s="32">
        <v>42306</v>
      </c>
      <c r="AD4" s="32">
        <v>42307</v>
      </c>
      <c r="AE4" s="32">
        <v>42308</v>
      </c>
      <c r="AF4" s="32">
        <v>42309</v>
      </c>
      <c r="AG4" s="32">
        <v>42310</v>
      </c>
      <c r="AH4" s="32">
        <v>42311</v>
      </c>
      <c r="AI4" s="32">
        <v>42312</v>
      </c>
      <c r="AJ4" s="32">
        <v>42313</v>
      </c>
      <c r="AK4" s="32">
        <v>42314</v>
      </c>
      <c r="AL4" s="32">
        <v>42315</v>
      </c>
      <c r="AM4" s="32">
        <v>42316</v>
      </c>
      <c r="AN4" s="32">
        <v>42317</v>
      </c>
      <c r="AO4" s="32">
        <v>42318</v>
      </c>
      <c r="AP4" s="32">
        <v>42319</v>
      </c>
      <c r="AQ4" s="32">
        <v>42320</v>
      </c>
      <c r="AR4" s="32">
        <v>42321</v>
      </c>
      <c r="AS4" s="32">
        <v>42322</v>
      </c>
      <c r="AT4" s="32">
        <v>42323</v>
      </c>
      <c r="AU4" s="32">
        <v>42324</v>
      </c>
      <c r="AV4" s="32">
        <v>42325</v>
      </c>
      <c r="AW4" s="32">
        <v>42326</v>
      </c>
      <c r="AX4" s="32">
        <v>42327</v>
      </c>
      <c r="AY4" s="32">
        <v>42328</v>
      </c>
      <c r="AZ4" s="32">
        <v>42329</v>
      </c>
      <c r="BA4" s="32">
        <v>42330</v>
      </c>
      <c r="BB4" s="32">
        <v>42331</v>
      </c>
      <c r="BC4" s="32">
        <v>42332</v>
      </c>
    </row>
    <row r="5" spans="1:55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N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/>
      <c r="N5" s="33" t="str">
        <f t="shared" ca="1" si="1"/>
        <v/>
      </c>
      <c r="O5" s="33" t="str">
        <f t="shared" ref="O5" ca="1" si="2">IF(AND(N4&lt;TODAY(),TODAY()&lt;(O4+1),O4&lt;&gt;""),"ACTUAL","")</f>
        <v/>
      </c>
      <c r="P5" s="33" t="str">
        <f t="shared" ref="P5" ca="1" si="3">IF(AND(O4&lt;TODAY(),TODAY()&lt;(P4+1),P4&lt;&gt;""),"ACTUAL","")</f>
        <v/>
      </c>
      <c r="Q5" s="33" t="str">
        <f t="shared" ref="Q5" ca="1" si="4">IF(AND(P4&lt;TODAY(),TODAY()&lt;(Q4+1),Q4&lt;&gt;""),"ACTUAL","")</f>
        <v/>
      </c>
      <c r="R5" s="33" t="str">
        <f t="shared" ref="R5" ca="1" si="5">IF(AND(Q4&lt;TODAY(),TODAY()&lt;(R4+1),R4&lt;&gt;""),"ACTUAL","")</f>
        <v/>
      </c>
      <c r="S5" s="33" t="str">
        <f t="shared" ref="S5" ca="1" si="6">IF(AND(R4&lt;TODAY(),TODAY()&lt;(S4+1),S4&lt;&gt;""),"ACTUAL","")</f>
        <v/>
      </c>
      <c r="T5" s="33" t="str">
        <f t="shared" ref="T5" ca="1" si="7">IF(AND(S4&lt;TODAY(),TODAY()&lt;(T4+1),T4&lt;&gt;""),"ACTUAL","")</f>
        <v/>
      </c>
      <c r="U5" s="33" t="str">
        <f t="shared" ref="U5" ca="1" si="8">IF(AND(T4&lt;TODAY(),TODAY()&lt;(U4+1),U4&lt;&gt;""),"ACTUAL","")</f>
        <v/>
      </c>
      <c r="V5" s="33" t="str">
        <f t="shared" ref="V5" ca="1" si="9">IF(AND(U4&lt;TODAY(),TODAY()&lt;(V4+1),V4&lt;&gt;""),"ACTUAL","")</f>
        <v/>
      </c>
      <c r="W5" s="33" t="str">
        <f t="shared" ref="W5" ca="1" si="10">IF(AND(V4&lt;TODAY(),TODAY()&lt;(W4+1),W4&lt;&gt;""),"ACTUAL","")</f>
        <v/>
      </c>
      <c r="X5" s="33" t="str">
        <f t="shared" ref="X5" ca="1" si="11">IF(AND(W4&lt;TODAY(),TODAY()&lt;(X4+1),X4&lt;&gt;""),"ACTUAL","")</f>
        <v/>
      </c>
      <c r="Y5" s="33" t="str">
        <f t="shared" ref="Y5" ca="1" si="12">IF(AND(X4&lt;TODAY(),TODAY()&lt;(Y4+1),Y4&lt;&gt;""),"ACTUAL","")</f>
        <v/>
      </c>
      <c r="Z5" s="33" t="str">
        <f t="shared" ref="Z5" ca="1" si="13">IF(AND(Y4&lt;TODAY(),TODAY()&lt;(Z4+1),Z4&lt;&gt;""),"ACTUAL","")</f>
        <v/>
      </c>
      <c r="AA5" s="33" t="str">
        <f t="shared" ref="AA5" ca="1" si="14">IF(AND(Z4&lt;TODAY(),TODAY()&lt;(AA4+1),AA4&lt;&gt;""),"ACTUAL","")</f>
        <v/>
      </c>
      <c r="AB5" s="33" t="str">
        <f t="shared" ref="AB5" ca="1" si="15">IF(AND(AA4&lt;TODAY(),TODAY()&lt;(AB4+1),AB4&lt;&gt;""),"ACTUAL","")</f>
        <v/>
      </c>
      <c r="AC5" s="33" t="str">
        <f t="shared" ref="AC5" ca="1" si="16">IF(AND(AB4&lt;TODAY(),TODAY()&lt;(AC4+1),AC4&lt;&gt;""),"ACTUAL","")</f>
        <v/>
      </c>
      <c r="AD5" s="33" t="str">
        <f t="shared" ref="AD5" ca="1" si="17">IF(AND(AC4&lt;TODAY(),TODAY()&lt;(AD4+1),AD4&lt;&gt;""),"ACTUAL","")</f>
        <v/>
      </c>
      <c r="AE5" s="33" t="str">
        <f t="shared" ref="AE5" ca="1" si="18">IF(AND(AD4&lt;TODAY(),TODAY()&lt;(AE4+1),AE4&lt;&gt;""),"ACTUAL","")</f>
        <v/>
      </c>
      <c r="AF5" s="33" t="str">
        <f t="shared" ref="AF5" ca="1" si="19">IF(AND(AE4&lt;TODAY(),TODAY()&lt;(AF4+1),AF4&lt;&gt;""),"ACTUAL","")</f>
        <v/>
      </c>
      <c r="AG5" s="33" t="str">
        <f t="shared" ref="AG5" ca="1" si="20">IF(AND(AF4&lt;TODAY(),TODAY()&lt;(AG4+1),AG4&lt;&gt;""),"ACTUAL","")</f>
        <v/>
      </c>
      <c r="AH5" s="33" t="str">
        <f t="shared" ref="AH5" ca="1" si="21">IF(AND(AG4&lt;TODAY(),TODAY()&lt;(AH4+1),AH4&lt;&gt;""),"ACTUAL","")</f>
        <v/>
      </c>
      <c r="AI5" s="33" t="str">
        <f t="shared" ref="AI5" ca="1" si="22">IF(AND(AH4&lt;TODAY(),TODAY()&lt;(AI4+1),AI4&lt;&gt;""),"ACTUAL","")</f>
        <v/>
      </c>
      <c r="AJ5" s="33" t="str">
        <f t="shared" ref="AJ5" ca="1" si="23">IF(AND(AI4&lt;TODAY(),TODAY()&lt;(AJ4+1),AJ4&lt;&gt;""),"ACTUAL","")</f>
        <v/>
      </c>
      <c r="AK5" s="33" t="str">
        <f t="shared" ref="AK5" ca="1" si="24">IF(AND(AJ4&lt;TODAY(),TODAY()&lt;(AK4+1),AK4&lt;&gt;""),"ACTUAL","")</f>
        <v/>
      </c>
      <c r="AL5" s="33" t="str">
        <f t="shared" ref="AL5" ca="1" si="25">IF(AND(AK4&lt;TODAY(),TODAY()&lt;(AL4+1),AL4&lt;&gt;""),"ACTUAL","")</f>
        <v/>
      </c>
      <c r="AM5" s="33" t="str">
        <f t="shared" ref="AM5" ca="1" si="26">IF(AND(AL4&lt;TODAY(),TODAY()&lt;(AM4+1),AM4&lt;&gt;""),"ACTUAL","")</f>
        <v/>
      </c>
      <c r="AN5" s="33" t="str">
        <f t="shared" ref="AN5" ca="1" si="27">IF(AND(AM4&lt;TODAY(),TODAY()&lt;(AN4+1),AN4&lt;&gt;""),"ACTUAL","")</f>
        <v/>
      </c>
      <c r="AO5" s="33" t="str">
        <f t="shared" ref="AO5" ca="1" si="28">IF(AND(AN4&lt;TODAY(),TODAY()&lt;(AO4+1),AO4&lt;&gt;""),"ACTUAL","")</f>
        <v/>
      </c>
      <c r="AP5" s="33" t="str">
        <f t="shared" ref="AP5" ca="1" si="29">IF(AND(AO4&lt;TODAY(),TODAY()&lt;(AP4+1),AP4&lt;&gt;""),"ACTUAL","")</f>
        <v/>
      </c>
      <c r="AQ5" s="33" t="str">
        <f t="shared" ref="AQ5" ca="1" si="30">IF(AND(AP4&lt;TODAY(),TODAY()&lt;(AQ4+1),AQ4&lt;&gt;""),"ACTUAL","")</f>
        <v/>
      </c>
      <c r="AR5" s="33" t="str">
        <f t="shared" ref="AR5" ca="1" si="31">IF(AND(AQ4&lt;TODAY(),TODAY()&lt;(AR4+1),AR4&lt;&gt;""),"ACTUAL","")</f>
        <v/>
      </c>
      <c r="AS5" s="33" t="str">
        <f t="shared" ref="AS5" ca="1" si="32">IF(AND(AR4&lt;TODAY(),TODAY()&lt;(AS4+1),AS4&lt;&gt;""),"ACTUAL","")</f>
        <v/>
      </c>
      <c r="AT5" s="33" t="str">
        <f t="shared" ref="AT5" ca="1" si="33">IF(AND(AS4&lt;TODAY(),TODAY()&lt;(AT4+1),AT4&lt;&gt;""),"ACTUAL","")</f>
        <v/>
      </c>
      <c r="AU5" s="33" t="str">
        <f t="shared" ref="AU5" ca="1" si="34">IF(AND(AT4&lt;TODAY(),TODAY()&lt;(AU4+1),AU4&lt;&gt;""),"ACTUAL","")</f>
        <v/>
      </c>
      <c r="AV5" s="33" t="str">
        <f t="shared" ref="AV5" ca="1" si="35">IF(AND(AU4&lt;TODAY(),TODAY()&lt;(AV4+1),AV4&lt;&gt;""),"ACTUAL","")</f>
        <v/>
      </c>
      <c r="AW5" s="33" t="str">
        <f t="shared" ref="AW5" ca="1" si="36">IF(AND(AV4&lt;TODAY(),TODAY()&lt;(AW4+1),AW4&lt;&gt;""),"ACTUAL","")</f>
        <v/>
      </c>
      <c r="AX5" s="33" t="str">
        <f t="shared" ref="AX5" ca="1" si="37">IF(AND(AW4&lt;TODAY(),TODAY()&lt;(AX4+1),AX4&lt;&gt;""),"ACTUAL","")</f>
        <v/>
      </c>
      <c r="AY5" s="33" t="str">
        <f t="shared" ref="AY5" ca="1" si="38">IF(AND(AX4&lt;TODAY(),TODAY()&lt;(AY4+1),AY4&lt;&gt;""),"ACTUAL","")</f>
        <v/>
      </c>
      <c r="AZ5" s="33" t="str">
        <f t="shared" ref="AZ5" ca="1" si="39">IF(AND(AY4&lt;TODAY(),TODAY()&lt;(AZ4+1),AZ4&lt;&gt;""),"ACTUAL","")</f>
        <v/>
      </c>
      <c r="BA5" s="33" t="str">
        <f t="shared" ref="BA5" ca="1" si="40">IF(AND(AZ4&lt;TODAY(),TODAY()&lt;(BA4+1),BA4&lt;&gt;""),"ACTUAL","")</f>
        <v/>
      </c>
      <c r="BB5" s="33" t="str">
        <f t="shared" ref="BB5" ca="1" si="41">IF(AND(BA4&lt;TODAY(),TODAY()&lt;(BB4+1),BB4&lt;&gt;""),"ACTUAL","")</f>
        <v/>
      </c>
      <c r="BC5" s="33" t="str">
        <f t="shared" ref="BC5" ca="1" si="42">IF(AND(BB4&lt;TODAY(),TODAY()&lt;(BC4+1),BC4&lt;&gt;""),"ACTUAL","")</f>
        <v/>
      </c>
    </row>
    <row r="6" spans="1:55" ht="15" x14ac:dyDescent="0.3">
      <c r="A6" s="114" t="s">
        <v>51</v>
      </c>
      <c r="B6" s="115"/>
      <c r="C6" s="116"/>
      <c r="D6" s="35"/>
      <c r="E6" s="36">
        <f>SUM($E$10:E16)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0</v>
      </c>
      <c r="K6" s="36">
        <f>SUM($E$7:K7)</f>
        <v>0</v>
      </c>
      <c r="L6" s="36">
        <f>SUM($E$7:L7)</f>
        <v>0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2</v>
      </c>
      <c r="R6" s="36">
        <f>SUM($E$7:R7)</f>
        <v>2</v>
      </c>
      <c r="S6" s="36">
        <f>SUM($E$7:S7)</f>
        <v>4</v>
      </c>
      <c r="T6" s="36">
        <f>SUM($E$7:T7)</f>
        <v>4</v>
      </c>
      <c r="U6" s="36">
        <f>SUM($E$7:U7)</f>
        <v>4</v>
      </c>
      <c r="V6" s="36">
        <f>SUM($E$7:V7)</f>
        <v>4</v>
      </c>
      <c r="W6" s="36">
        <f>SUM($E$7:W7)</f>
        <v>8</v>
      </c>
      <c r="X6" s="36">
        <f>SUM($E$7:X7)</f>
        <v>12</v>
      </c>
      <c r="Y6" s="36">
        <f>SUM($E$7:Y7)</f>
        <v>16</v>
      </c>
      <c r="Z6" s="36">
        <f>SUM($E$7:Z7)</f>
        <v>18</v>
      </c>
      <c r="AA6" s="36">
        <f>SUM($E$7:AA7)</f>
        <v>18</v>
      </c>
      <c r="AB6" s="36">
        <f>SUM($E$7:AB7)</f>
        <v>18</v>
      </c>
      <c r="AC6" s="36">
        <f>SUM($E$7:AC7)</f>
        <v>18</v>
      </c>
      <c r="AD6" s="36">
        <f>SUM($E$7:AD7)</f>
        <v>20</v>
      </c>
      <c r="AE6" s="36">
        <f>SUM($E$7:AE7)</f>
        <v>21</v>
      </c>
      <c r="AF6" s="36">
        <f>SUM($E$7:AF7)</f>
        <v>27</v>
      </c>
      <c r="AG6" s="36">
        <f>SUM($E$7:AG7)</f>
        <v>28.5</v>
      </c>
      <c r="AH6" s="36">
        <f>SUM($E$7:AH7)</f>
        <v>28.5</v>
      </c>
      <c r="AI6" s="36">
        <f>SUM($E$7:AI7)</f>
        <v>28.5</v>
      </c>
      <c r="AJ6" s="36">
        <f>SUM($E$7:AJ7)</f>
        <v>28.5</v>
      </c>
      <c r="AK6" s="36">
        <f>SUM($E$7:AK7)</f>
        <v>28.5</v>
      </c>
      <c r="AL6" s="36">
        <f>SUM($E$7:AL7)</f>
        <v>28.5</v>
      </c>
      <c r="AM6" s="36">
        <f>SUM($E$7:AM7)</f>
        <v>28.5</v>
      </c>
      <c r="AN6" s="36">
        <f>SUM($E$7:AN7)</f>
        <v>28.5</v>
      </c>
      <c r="AO6" s="36">
        <f>SUM($E$7:AO7)</f>
        <v>28.5</v>
      </c>
      <c r="AP6" s="36">
        <f>SUM($E$7:AP7)</f>
        <v>28.5</v>
      </c>
      <c r="AQ6" s="36">
        <f>SUM($E$7:AQ7)</f>
        <v>28.5</v>
      </c>
      <c r="AR6" s="36">
        <f>SUM($E$7:AR7)</f>
        <v>28.5</v>
      </c>
      <c r="AS6" s="36">
        <f>SUM($E$7:AS7)</f>
        <v>28.5</v>
      </c>
      <c r="AT6" s="36">
        <f>SUM($E$7:AT7)</f>
        <v>28.5</v>
      </c>
      <c r="AU6" s="36">
        <f>SUM($E$7:AU7)</f>
        <v>28.5</v>
      </c>
      <c r="AV6" s="36">
        <f>SUM($E$7:AV7)</f>
        <v>28.5</v>
      </c>
      <c r="AW6" s="36">
        <f>SUM($E$7:AW7)</f>
        <v>28.5</v>
      </c>
      <c r="AX6" s="36">
        <f>SUM($E$7:AX7)</f>
        <v>28.5</v>
      </c>
      <c r="AY6" s="36">
        <f>SUM($E$7:AY7)</f>
        <v>28.5</v>
      </c>
      <c r="AZ6" s="36">
        <f>SUM($E$7:AZ7)</f>
        <v>28.5</v>
      </c>
      <c r="BA6" s="36">
        <f>SUM($E$7:BA7)</f>
        <v>28.5</v>
      </c>
      <c r="BB6" s="36">
        <f>SUM($E$7:BB7)</f>
        <v>28.5</v>
      </c>
      <c r="BC6" s="36">
        <f>SUM($E$7:BC7)</f>
        <v>28.5</v>
      </c>
    </row>
    <row r="7" spans="1:55" ht="15" customHeight="1" x14ac:dyDescent="0.3">
      <c r="A7" s="114" t="s">
        <v>42</v>
      </c>
      <c r="B7" s="115"/>
      <c r="C7" s="116"/>
      <c r="D7" s="37">
        <f>SUM(E7:N7)</f>
        <v>2</v>
      </c>
      <c r="E7" s="38">
        <f t="shared" ref="E7:N7" si="43">SUM(E10:E16)</f>
        <v>0</v>
      </c>
      <c r="F7" s="38">
        <f t="shared" si="43"/>
        <v>0</v>
      </c>
      <c r="G7" s="38">
        <f t="shared" si="43"/>
        <v>0</v>
      </c>
      <c r="H7" s="38">
        <f t="shared" si="43"/>
        <v>0</v>
      </c>
      <c r="I7" s="38">
        <f t="shared" si="43"/>
        <v>0</v>
      </c>
      <c r="J7" s="38">
        <f t="shared" si="43"/>
        <v>0</v>
      </c>
      <c r="K7" s="38">
        <f t="shared" si="43"/>
        <v>0</v>
      </c>
      <c r="L7" s="38">
        <f t="shared" si="43"/>
        <v>0</v>
      </c>
      <c r="M7" s="38">
        <f t="shared" si="43"/>
        <v>2</v>
      </c>
      <c r="N7" s="38">
        <f t="shared" si="43"/>
        <v>0</v>
      </c>
      <c r="O7" s="38">
        <f t="shared" ref="O7:R7" si="44">SUM(O10:O16)</f>
        <v>0</v>
      </c>
      <c r="P7" s="38">
        <f t="shared" si="44"/>
        <v>0</v>
      </c>
      <c r="Q7" s="38">
        <f t="shared" si="44"/>
        <v>0</v>
      </c>
      <c r="R7" s="38">
        <f t="shared" si="44"/>
        <v>0</v>
      </c>
      <c r="S7" s="38">
        <f t="shared" ref="S7:AK7" si="45">SUM(S10:S16)</f>
        <v>2</v>
      </c>
      <c r="T7" s="38">
        <f t="shared" si="45"/>
        <v>0</v>
      </c>
      <c r="U7" s="38">
        <f t="shared" si="45"/>
        <v>0</v>
      </c>
      <c r="V7" s="38">
        <f t="shared" si="45"/>
        <v>0</v>
      </c>
      <c r="W7" s="38">
        <f t="shared" si="45"/>
        <v>4</v>
      </c>
      <c r="X7" s="38">
        <f t="shared" si="45"/>
        <v>4</v>
      </c>
      <c r="Y7" s="38">
        <f t="shared" si="45"/>
        <v>4</v>
      </c>
      <c r="Z7" s="38">
        <f t="shared" si="45"/>
        <v>2</v>
      </c>
      <c r="AA7" s="38">
        <f t="shared" si="45"/>
        <v>0</v>
      </c>
      <c r="AB7" s="38">
        <f t="shared" si="45"/>
        <v>0</v>
      </c>
      <c r="AC7" s="38">
        <f t="shared" si="45"/>
        <v>0</v>
      </c>
      <c r="AD7" s="38">
        <f t="shared" si="45"/>
        <v>2</v>
      </c>
      <c r="AE7" s="38">
        <f t="shared" si="45"/>
        <v>1</v>
      </c>
      <c r="AF7" s="38">
        <f t="shared" si="45"/>
        <v>6</v>
      </c>
      <c r="AG7" s="38">
        <f t="shared" si="45"/>
        <v>1.5</v>
      </c>
      <c r="AH7" s="38">
        <f t="shared" si="45"/>
        <v>0</v>
      </c>
      <c r="AI7" s="38">
        <f t="shared" si="45"/>
        <v>0</v>
      </c>
      <c r="AJ7" s="38">
        <f t="shared" si="45"/>
        <v>0</v>
      </c>
      <c r="AK7" s="38">
        <f t="shared" si="45"/>
        <v>0</v>
      </c>
      <c r="AL7" s="38">
        <f t="shared" ref="AL7:BC7" si="46">SUM(AL10:AL16)</f>
        <v>0</v>
      </c>
      <c r="AM7" s="38">
        <f t="shared" si="46"/>
        <v>0</v>
      </c>
      <c r="AN7" s="38">
        <f t="shared" si="46"/>
        <v>0</v>
      </c>
      <c r="AO7" s="38">
        <f t="shared" si="46"/>
        <v>0</v>
      </c>
      <c r="AP7" s="38">
        <f t="shared" si="46"/>
        <v>0</v>
      </c>
      <c r="AQ7" s="38">
        <f t="shared" si="46"/>
        <v>0</v>
      </c>
      <c r="AR7" s="38">
        <f t="shared" si="46"/>
        <v>0</v>
      </c>
      <c r="AS7" s="38">
        <f t="shared" si="46"/>
        <v>0</v>
      </c>
      <c r="AT7" s="38">
        <f t="shared" si="46"/>
        <v>0</v>
      </c>
      <c r="AU7" s="38">
        <f t="shared" si="46"/>
        <v>0</v>
      </c>
      <c r="AV7" s="38">
        <f t="shared" si="46"/>
        <v>0</v>
      </c>
      <c r="AW7" s="38">
        <f t="shared" si="46"/>
        <v>0</v>
      </c>
      <c r="AX7" s="38">
        <f t="shared" si="46"/>
        <v>0</v>
      </c>
      <c r="AY7" s="38">
        <f t="shared" si="46"/>
        <v>0</v>
      </c>
      <c r="AZ7" s="38">
        <f t="shared" si="46"/>
        <v>0</v>
      </c>
      <c r="BA7" s="38">
        <f t="shared" si="46"/>
        <v>0</v>
      </c>
      <c r="BB7" s="38">
        <f t="shared" si="46"/>
        <v>0</v>
      </c>
      <c r="BC7" s="38">
        <f t="shared" si="46"/>
        <v>0</v>
      </c>
    </row>
    <row r="9" spans="1:55" s="23" customFormat="1" ht="18" x14ac:dyDescent="0.3">
      <c r="A9" s="24" t="s">
        <v>0</v>
      </c>
      <c r="B9" s="24" t="s">
        <v>1</v>
      </c>
      <c r="C9" s="24" t="s">
        <v>46</v>
      </c>
      <c r="D9" s="24" t="s">
        <v>42</v>
      </c>
      <c r="E9" s="119" t="s">
        <v>45</v>
      </c>
      <c r="F9" s="120"/>
      <c r="G9" s="120"/>
      <c r="H9" s="120"/>
      <c r="I9" s="120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</row>
    <row r="10" spans="1:55" x14ac:dyDescent="0.3">
      <c r="A10" s="90" t="s">
        <v>113</v>
      </c>
      <c r="B10" s="1" t="s">
        <v>103</v>
      </c>
      <c r="C10" s="1" t="s">
        <v>55</v>
      </c>
      <c r="D10" s="19">
        <f>SUM(E10:BC10)</f>
        <v>4</v>
      </c>
      <c r="E10" s="19"/>
      <c r="F10" s="19"/>
      <c r="G10" s="19"/>
      <c r="H10" s="19"/>
      <c r="I10" s="19"/>
      <c r="J10" s="19"/>
      <c r="K10" s="19"/>
      <c r="L10" s="19"/>
      <c r="M10" s="19">
        <v>2</v>
      </c>
      <c r="N10" s="19"/>
      <c r="O10" s="19"/>
      <c r="P10" s="19"/>
      <c r="Q10" s="19"/>
      <c r="R10" s="19"/>
      <c r="S10" s="19">
        <v>2</v>
      </c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3">
      <c r="A11" s="90" t="s">
        <v>115</v>
      </c>
      <c r="B11" s="1" t="s">
        <v>102</v>
      </c>
      <c r="C11" s="1" t="s">
        <v>65</v>
      </c>
      <c r="D11" s="19">
        <f>SUM(E11:BC11)</f>
        <v>6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>
        <v>4</v>
      </c>
      <c r="Y11" s="19">
        <v>2</v>
      </c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3">
      <c r="A12" s="90" t="s">
        <v>114</v>
      </c>
      <c r="B12" s="1" t="s">
        <v>104</v>
      </c>
      <c r="C12" s="1" t="s">
        <v>65</v>
      </c>
      <c r="D12" s="19">
        <f t="shared" ref="D12:D31" si="47">SUM(E12:BC12)</f>
        <v>2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>
        <v>2</v>
      </c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3">
      <c r="A13" s="90" t="s">
        <v>15</v>
      </c>
      <c r="B13" s="1" t="s">
        <v>92</v>
      </c>
      <c r="C13" s="1" t="s">
        <v>67</v>
      </c>
      <c r="D13" s="19">
        <f t="shared" si="47"/>
        <v>4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>
        <v>4</v>
      </c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3">
      <c r="A14" s="90" t="s">
        <v>16</v>
      </c>
      <c r="B14" s="1" t="s">
        <v>77</v>
      </c>
      <c r="C14" s="1" t="s">
        <v>67</v>
      </c>
      <c r="D14" s="19">
        <f>SUM(E14:BC14)</f>
        <v>6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>
        <v>1</v>
      </c>
      <c r="AA14" s="19"/>
      <c r="AB14" s="19"/>
      <c r="AC14" s="19"/>
      <c r="AD14" s="19">
        <v>2</v>
      </c>
      <c r="AE14" s="19">
        <v>1</v>
      </c>
      <c r="AF14" s="19">
        <v>2</v>
      </c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3">
      <c r="A15" s="90" t="s">
        <v>17</v>
      </c>
      <c r="B15" s="1" t="s">
        <v>81</v>
      </c>
      <c r="C15" s="1" t="s">
        <v>66</v>
      </c>
      <c r="D15" s="19">
        <f t="shared" si="47"/>
        <v>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>
        <v>1</v>
      </c>
      <c r="AA15" s="19"/>
      <c r="AB15" s="19"/>
      <c r="AC15" s="19"/>
      <c r="AD15" s="19"/>
      <c r="AE15" s="19"/>
      <c r="AF15" s="19">
        <v>4</v>
      </c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3">
      <c r="A16" s="90" t="s">
        <v>18</v>
      </c>
      <c r="B16" s="1" t="s">
        <v>78</v>
      </c>
      <c r="C16" s="1" t="s">
        <v>66</v>
      </c>
      <c r="D16" s="19">
        <f t="shared" si="47"/>
        <v>1.5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>
        <v>1.5</v>
      </c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3">
      <c r="A17" s="90" t="s">
        <v>79</v>
      </c>
      <c r="B17" s="1" t="s">
        <v>80</v>
      </c>
      <c r="C17" s="1" t="s">
        <v>66</v>
      </c>
      <c r="D17" s="19">
        <f t="shared" si="47"/>
        <v>1.5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>
        <v>1.5</v>
      </c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3">
      <c r="A18" s="90" t="s">
        <v>19</v>
      </c>
      <c r="B18" s="1" t="s">
        <v>82</v>
      </c>
      <c r="C18" s="1" t="s">
        <v>55</v>
      </c>
      <c r="D18" s="19">
        <f t="shared" si="47"/>
        <v>2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2</v>
      </c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3">
      <c r="A19" s="90" t="s">
        <v>20</v>
      </c>
      <c r="B19" s="1" t="s">
        <v>83</v>
      </c>
      <c r="C19" s="1" t="s">
        <v>64</v>
      </c>
      <c r="D19" s="19">
        <f t="shared" si="47"/>
        <v>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</row>
    <row r="20" spans="1:55" x14ac:dyDescent="0.3">
      <c r="A20" s="90" t="s">
        <v>21</v>
      </c>
      <c r="B20" s="1" t="s">
        <v>84</v>
      </c>
      <c r="C20" s="1" t="s">
        <v>64</v>
      </c>
      <c r="D20" s="19">
        <f t="shared" si="47"/>
        <v>0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</row>
    <row r="21" spans="1:55" x14ac:dyDescent="0.3">
      <c r="A21" s="90" t="s">
        <v>22</v>
      </c>
      <c r="B21" s="1" t="s">
        <v>85</v>
      </c>
      <c r="C21" s="1" t="s">
        <v>64</v>
      </c>
      <c r="D21" s="19">
        <f t="shared" si="47"/>
        <v>0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</row>
    <row r="22" spans="1:55" x14ac:dyDescent="0.3">
      <c r="A22" s="90" t="s">
        <v>23</v>
      </c>
      <c r="B22" s="1" t="s">
        <v>86</v>
      </c>
      <c r="C22" s="1" t="s">
        <v>64</v>
      </c>
      <c r="D22" s="19">
        <f t="shared" si="47"/>
        <v>0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</row>
    <row r="23" spans="1:55" x14ac:dyDescent="0.3">
      <c r="A23" s="90" t="s">
        <v>24</v>
      </c>
      <c r="B23" s="1" t="s">
        <v>87</v>
      </c>
      <c r="C23" s="1" t="s">
        <v>64</v>
      </c>
      <c r="D23" s="19">
        <f t="shared" si="47"/>
        <v>0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</row>
    <row r="24" spans="1:55" x14ac:dyDescent="0.3">
      <c r="A24" s="90" t="s">
        <v>25</v>
      </c>
      <c r="B24" s="1" t="s">
        <v>88</v>
      </c>
      <c r="C24" s="1" t="s">
        <v>64</v>
      </c>
      <c r="D24" s="19">
        <f t="shared" si="47"/>
        <v>0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</row>
    <row r="25" spans="1:55" x14ac:dyDescent="0.3">
      <c r="A25" s="90" t="s">
        <v>116</v>
      </c>
      <c r="B25" s="1" t="s">
        <v>96</v>
      </c>
      <c r="C25" s="1" t="s">
        <v>64</v>
      </c>
      <c r="D25" s="19">
        <f t="shared" si="47"/>
        <v>0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</row>
    <row r="26" spans="1:55" x14ac:dyDescent="0.3">
      <c r="A26" s="90" t="s">
        <v>117</v>
      </c>
      <c r="B26" s="1" t="s">
        <v>93</v>
      </c>
      <c r="C26" s="1" t="s">
        <v>64</v>
      </c>
      <c r="D26" s="19">
        <f t="shared" si="47"/>
        <v>0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</row>
    <row r="27" spans="1:55" x14ac:dyDescent="0.3">
      <c r="A27" s="90" t="s">
        <v>118</v>
      </c>
      <c r="B27" s="1" t="s">
        <v>94</v>
      </c>
      <c r="C27" s="1" t="s">
        <v>64</v>
      </c>
      <c r="D27" s="19">
        <f t="shared" si="47"/>
        <v>0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</row>
    <row r="28" spans="1:55" x14ac:dyDescent="0.3">
      <c r="A28" s="90" t="s">
        <v>119</v>
      </c>
      <c r="B28" s="1" t="s">
        <v>95</v>
      </c>
      <c r="C28" s="1" t="s">
        <v>64</v>
      </c>
      <c r="D28" s="19">
        <f t="shared" si="47"/>
        <v>0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</row>
    <row r="29" spans="1:55" x14ac:dyDescent="0.3">
      <c r="A29" s="90" t="s">
        <v>120</v>
      </c>
      <c r="B29" s="1" t="s">
        <v>89</v>
      </c>
      <c r="C29" s="1" t="s">
        <v>64</v>
      </c>
      <c r="D29" s="19">
        <f t="shared" si="47"/>
        <v>0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</row>
    <row r="30" spans="1:55" x14ac:dyDescent="0.3">
      <c r="A30" s="90" t="s">
        <v>121</v>
      </c>
      <c r="B30" s="1" t="s">
        <v>90</v>
      </c>
      <c r="C30" s="1" t="s">
        <v>64</v>
      </c>
      <c r="D30" s="19">
        <f t="shared" si="47"/>
        <v>0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</row>
    <row r="31" spans="1:55" x14ac:dyDescent="0.3">
      <c r="A31" s="90" t="s">
        <v>122</v>
      </c>
      <c r="B31" s="1" t="s">
        <v>91</v>
      </c>
      <c r="C31" s="1" t="s">
        <v>64</v>
      </c>
      <c r="D31" s="19">
        <f t="shared" si="47"/>
        <v>0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</row>
    <row r="32" spans="1:55" x14ac:dyDescent="0.3"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</row>
    <row r="33" spans="5:55" x14ac:dyDescent="0.3"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</row>
    <row r="34" spans="5:55" x14ac:dyDescent="0.3"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</row>
    <row r="35" spans="5:55" x14ac:dyDescent="0.3"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</row>
    <row r="36" spans="5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5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5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5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5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5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5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5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5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5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5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5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5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BC9"/>
  </mergeCells>
  <conditionalFormatting sqref="E3:BC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F29"/>
  <sheetViews>
    <sheetView zoomScale="55" zoomScaleNormal="55" workbookViewId="0">
      <selection activeCell="R16" sqref="R16"/>
    </sheetView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32" x14ac:dyDescent="0.3">
      <c r="A26" s="46" t="s">
        <v>47</v>
      </c>
      <c r="B26" s="46"/>
      <c r="C26" s="46"/>
      <c r="E26"/>
    </row>
    <row r="27" spans="1:32" ht="36" x14ac:dyDescent="0.3">
      <c r="A27" s="46" t="s">
        <v>48</v>
      </c>
      <c r="B27" s="47">
        <f>'Pila-Sprint1'!C2</f>
        <v>23</v>
      </c>
      <c r="C27" s="32">
        <v>42278</v>
      </c>
      <c r="D27" s="32">
        <v>42279</v>
      </c>
      <c r="E27" s="32">
        <v>42282</v>
      </c>
      <c r="F27" s="32">
        <v>42283</v>
      </c>
      <c r="G27" s="32">
        <v>42284</v>
      </c>
      <c r="H27" s="32">
        <v>42285</v>
      </c>
      <c r="I27" s="32">
        <v>42286</v>
      </c>
      <c r="J27" s="32">
        <v>42289</v>
      </c>
      <c r="K27" s="32">
        <v>42290</v>
      </c>
      <c r="L27" s="32">
        <v>42291</v>
      </c>
      <c r="M27" s="32">
        <v>42292</v>
      </c>
      <c r="N27" s="32">
        <v>42293</v>
      </c>
      <c r="O27" s="32">
        <v>42294</v>
      </c>
      <c r="P27" s="32">
        <v>42295</v>
      </c>
      <c r="Q27" s="32">
        <v>42296</v>
      </c>
      <c r="R27" s="32">
        <v>42297</v>
      </c>
      <c r="S27" s="32">
        <v>42298</v>
      </c>
      <c r="T27" s="32">
        <v>42299</v>
      </c>
      <c r="U27" s="32">
        <v>42300</v>
      </c>
      <c r="V27" s="32">
        <v>42301</v>
      </c>
      <c r="W27" s="32">
        <v>42302</v>
      </c>
      <c r="X27" s="32">
        <v>42303</v>
      </c>
      <c r="Y27" s="32">
        <v>42304</v>
      </c>
      <c r="Z27" s="32">
        <v>42305</v>
      </c>
      <c r="AA27" s="32">
        <v>42306</v>
      </c>
      <c r="AB27" s="32">
        <v>42307</v>
      </c>
      <c r="AC27" s="32">
        <v>42308</v>
      </c>
      <c r="AD27" s="32">
        <v>42309</v>
      </c>
      <c r="AE27" s="32">
        <v>42310</v>
      </c>
      <c r="AF27" s="32">
        <v>42311</v>
      </c>
    </row>
    <row r="28" spans="1:32" ht="15" x14ac:dyDescent="0.3">
      <c r="A28" s="46" t="s">
        <v>49</v>
      </c>
      <c r="B28" s="34"/>
      <c r="C28" s="34">
        <f>$B$27/30</f>
        <v>0.76666666666666672</v>
      </c>
      <c r="D28" s="34">
        <f t="shared" ref="D28:AF28" si="0">$B$27/30</f>
        <v>0.76666666666666672</v>
      </c>
      <c r="E28" s="34">
        <f t="shared" si="0"/>
        <v>0.76666666666666672</v>
      </c>
      <c r="F28" s="34">
        <f t="shared" si="0"/>
        <v>0.76666666666666672</v>
      </c>
      <c r="G28" s="34">
        <f t="shared" si="0"/>
        <v>0.76666666666666672</v>
      </c>
      <c r="H28" s="34">
        <f t="shared" si="0"/>
        <v>0.76666666666666672</v>
      </c>
      <c r="I28" s="34">
        <f t="shared" si="0"/>
        <v>0.76666666666666672</v>
      </c>
      <c r="J28" s="34">
        <f t="shared" si="0"/>
        <v>0.76666666666666672</v>
      </c>
      <c r="K28" s="34">
        <f t="shared" si="0"/>
        <v>0.76666666666666672</v>
      </c>
      <c r="L28" s="34">
        <f t="shared" si="0"/>
        <v>0.76666666666666672</v>
      </c>
      <c r="M28" s="34">
        <f t="shared" si="0"/>
        <v>0.76666666666666672</v>
      </c>
      <c r="N28" s="34">
        <f t="shared" si="0"/>
        <v>0.76666666666666672</v>
      </c>
      <c r="O28" s="34">
        <f t="shared" si="0"/>
        <v>0.76666666666666672</v>
      </c>
      <c r="P28" s="34">
        <f t="shared" si="0"/>
        <v>0.76666666666666672</v>
      </c>
      <c r="Q28" s="34">
        <f t="shared" si="0"/>
        <v>0.76666666666666672</v>
      </c>
      <c r="R28" s="34">
        <f t="shared" si="0"/>
        <v>0.76666666666666672</v>
      </c>
      <c r="S28" s="34">
        <f t="shared" si="0"/>
        <v>0.76666666666666672</v>
      </c>
      <c r="T28" s="34">
        <f t="shared" si="0"/>
        <v>0.76666666666666672</v>
      </c>
      <c r="U28" s="34">
        <f t="shared" si="0"/>
        <v>0.76666666666666672</v>
      </c>
      <c r="V28" s="34">
        <f t="shared" si="0"/>
        <v>0.76666666666666672</v>
      </c>
      <c r="W28" s="34">
        <f t="shared" si="0"/>
        <v>0.76666666666666672</v>
      </c>
      <c r="X28" s="34">
        <f t="shared" si="0"/>
        <v>0.76666666666666672</v>
      </c>
      <c r="Y28" s="34">
        <f t="shared" si="0"/>
        <v>0.76666666666666672</v>
      </c>
      <c r="Z28" s="34">
        <f t="shared" si="0"/>
        <v>0.76666666666666672</v>
      </c>
      <c r="AA28" s="34">
        <f t="shared" si="0"/>
        <v>0.76666666666666672</v>
      </c>
      <c r="AB28" s="34">
        <f t="shared" si="0"/>
        <v>0.76666666666666672</v>
      </c>
      <c r="AC28" s="34">
        <f t="shared" si="0"/>
        <v>0.76666666666666672</v>
      </c>
      <c r="AD28" s="34">
        <f t="shared" si="0"/>
        <v>0.76666666666666672</v>
      </c>
      <c r="AE28" s="34">
        <f t="shared" si="0"/>
        <v>0.76666666666666672</v>
      </c>
      <c r="AF28" s="34">
        <f t="shared" si="0"/>
        <v>0.76666666666666672</v>
      </c>
    </row>
    <row r="29" spans="1:32" ht="15" outlineLevel="1" x14ac:dyDescent="0.3">
      <c r="A29" s="46" t="s">
        <v>50</v>
      </c>
      <c r="B29" s="34"/>
      <c r="C29" s="34">
        <f>B27</f>
        <v>23</v>
      </c>
      <c r="D29" s="34">
        <f>B27-SUM(C28:D28)</f>
        <v>21.466666666666665</v>
      </c>
      <c r="E29" s="34">
        <f>B27-SUM(C28:E28)</f>
        <v>20.7</v>
      </c>
      <c r="F29" s="34">
        <f>B27-SUM(C28:F28)</f>
        <v>19.933333333333334</v>
      </c>
      <c r="G29" s="34">
        <f>B27-SUM(C28:G28)</f>
        <v>19.166666666666668</v>
      </c>
      <c r="H29" s="34">
        <f>B27-SUM(C28:H28)</f>
        <v>18.399999999999999</v>
      </c>
      <c r="I29" s="34">
        <f>B27-SUM(C28:I28)</f>
        <v>17.633333333333333</v>
      </c>
      <c r="J29" s="34">
        <f>B27-SUM(C28:J28)</f>
        <v>16.866666666666667</v>
      </c>
      <c r="K29" s="34">
        <f>B27-SUM(C28:K28)</f>
        <v>16.100000000000001</v>
      </c>
      <c r="L29" s="34">
        <f>B27-SUM(C28:L28)</f>
        <v>15.333333333333332</v>
      </c>
      <c r="M29" s="34">
        <f>B27-SUM(C28:M28)</f>
        <v>14.566666666666666</v>
      </c>
      <c r="N29" s="34">
        <f>B27-SUM(C28:N28)</f>
        <v>13.799999999999999</v>
      </c>
      <c r="O29" s="34">
        <f>B27-SUM(C28:O28)</f>
        <v>13.033333333333331</v>
      </c>
      <c r="P29" s="34">
        <f>B27-SUM(C28:P28)</f>
        <v>12.266666666666664</v>
      </c>
      <c r="Q29" s="34">
        <f>B27-SUM(C28:Q28)</f>
        <v>11.499999999999996</v>
      </c>
      <c r="R29" s="34">
        <f>B27-SUM(C28:R28)</f>
        <v>10.733333333333329</v>
      </c>
      <c r="S29" s="34">
        <f>B27-SUM(C28:S28)</f>
        <v>9.9666666666666615</v>
      </c>
      <c r="T29" s="34">
        <f>B27-SUM(C28:T28)</f>
        <v>9.199999999999994</v>
      </c>
      <c r="U29" s="34">
        <f>B27-SUM(C28:U28)</f>
        <v>8.4333333333333265</v>
      </c>
      <c r="V29" s="34">
        <f>B27-SUM(C28:V28)</f>
        <v>7.666666666666659</v>
      </c>
      <c r="W29" s="34">
        <f>B27-SUM(C28:W28)</f>
        <v>6.8999999999999915</v>
      </c>
      <c r="X29" s="34">
        <f>B27-SUM(C28:X28)</f>
        <v>6.1333333333333258</v>
      </c>
      <c r="Y29" s="34">
        <f>B27-SUM(C28:Y28)</f>
        <v>5.36666666666666</v>
      </c>
      <c r="Z29" s="34">
        <f>B27-SUM(C28:Z28)</f>
        <v>4.5999999999999943</v>
      </c>
      <c r="AA29" s="34">
        <f>B27-SUM(C28:AA28)</f>
        <v>3.8333333333333286</v>
      </c>
      <c r="AB29" s="34">
        <f>B27-SUM(C28:AB28)</f>
        <v>3.0666666666666629</v>
      </c>
      <c r="AC29" s="34">
        <f>B27-SUM(C28:AC28)</f>
        <v>2.2999999999999972</v>
      </c>
      <c r="AD29" s="34">
        <f>B27-SUM(C28:AD28)</f>
        <v>1.5333333333333314</v>
      </c>
      <c r="AE29" s="34">
        <f>B27-SUM(C28:AE28)</f>
        <v>0.76666666666666572</v>
      </c>
      <c r="AF29" s="34">
        <f>B27-SUM(C28:AF28)</f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>
      <selection activeCell="A2" sqref="A2"/>
    </sheetView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58</v>
      </c>
      <c r="B1" s="72" t="s">
        <v>59</v>
      </c>
      <c r="C1" s="72" t="s">
        <v>60</v>
      </c>
    </row>
    <row r="2" spans="1:3" ht="39.9" customHeight="1" x14ac:dyDescent="0.3">
      <c r="A2" s="102" t="s">
        <v>123</v>
      </c>
      <c r="B2" s="102" t="s">
        <v>124</v>
      </c>
      <c r="C2" s="102" t="s">
        <v>125</v>
      </c>
    </row>
    <row r="3" spans="1:3" ht="39.9" customHeight="1" x14ac:dyDescent="0.3">
      <c r="A3" s="102" t="s">
        <v>126</v>
      </c>
      <c r="B3" s="102" t="s">
        <v>128</v>
      </c>
      <c r="C3" s="102" t="s">
        <v>127</v>
      </c>
    </row>
    <row r="4" spans="1:3" ht="39.9" customHeight="1" x14ac:dyDescent="0.3">
      <c r="A4" s="102"/>
      <c r="B4" s="102" t="s">
        <v>129</v>
      </c>
      <c r="C4" s="102"/>
    </row>
    <row r="5" spans="1:3" ht="39.9" customHeight="1" x14ac:dyDescent="0.3">
      <c r="A5" s="102"/>
      <c r="B5" s="102"/>
      <c r="C5" s="102"/>
    </row>
    <row r="6" spans="1:3" ht="39.9" customHeight="1" x14ac:dyDescent="0.3">
      <c r="A6" s="102"/>
      <c r="B6" s="102"/>
      <c r="C6" s="102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>
      <selection activeCell="A2" sqref="A2"/>
    </sheetView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58</v>
      </c>
      <c r="B1" s="72" t="s">
        <v>59</v>
      </c>
      <c r="C1" s="72" t="s">
        <v>60</v>
      </c>
    </row>
    <row r="2" spans="1:3" ht="39.9" customHeight="1" x14ac:dyDescent="0.3">
      <c r="A2" s="102" t="s">
        <v>123</v>
      </c>
      <c r="B2" s="102" t="s">
        <v>124</v>
      </c>
      <c r="C2" s="102" t="s">
        <v>125</v>
      </c>
    </row>
    <row r="3" spans="1:3" ht="39.9" customHeight="1" x14ac:dyDescent="0.3">
      <c r="A3" s="102" t="s">
        <v>126</v>
      </c>
      <c r="B3" s="102" t="s">
        <v>128</v>
      </c>
      <c r="C3" s="102" t="s">
        <v>127</v>
      </c>
    </row>
    <row r="4" spans="1:3" ht="39.9" customHeight="1" x14ac:dyDescent="0.3">
      <c r="A4" s="102"/>
      <c r="B4" s="102" t="s">
        <v>129</v>
      </c>
      <c r="C4" s="102"/>
    </row>
    <row r="5" spans="1:3" ht="39.9" customHeight="1" x14ac:dyDescent="0.3">
      <c r="A5" s="102"/>
      <c r="B5" s="102"/>
      <c r="C5" s="102"/>
    </row>
    <row r="6" spans="1:3" ht="39.9" customHeight="1" x14ac:dyDescent="0.3">
      <c r="A6" s="102"/>
      <c r="B6" s="102"/>
      <c r="C6" s="102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</vt:lpstr>
      <vt:lpstr>Backlog Producto</vt:lpstr>
      <vt:lpstr>Pila-Sprint1</vt:lpstr>
      <vt:lpstr>Pila-Sprint2</vt:lpstr>
      <vt:lpstr>Diario-Restante</vt:lpstr>
      <vt:lpstr>Diario-Realizado</vt:lpstr>
      <vt:lpstr>Burns</vt:lpstr>
      <vt:lpstr>Retrospectiva Sprint 1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2025-11-09T16:06:37Z</dcterms:modified>
</cp:coreProperties>
</file>