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 codeName="ThisWorkbook" defaultThemeVersion="124226"/>
  <xr:revisionPtr revIDLastSave="0" documentId="13_ncr:1_{D3285228-F337-444D-B78E-4726001F787C}" xr6:coauthVersionLast="47" xr6:coauthVersionMax="47" xr10:uidLastSave="{00000000-0000-0000-0000-000000000000}"/>
  <bookViews>
    <workbookView xWindow="-120" yWindow="-120" windowWidth="29040" windowHeight="15840" tabRatio="810" xr2:uid="{00000000-000D-0000-FFFF-FFFF00000000}"/>
  </bookViews>
  <sheets>
    <sheet name="Resumen" sheetId="12" r:id="rId1"/>
    <sheet name="Backlog Producto" sheetId="4" r:id="rId2"/>
    <sheet name="Pila-Sprint1" sheetId="9" r:id="rId3"/>
    <sheet name="Pila-Sprint2" sheetId="19" r:id="rId4"/>
    <sheet name="Diario-Restante-Sprint1" sheetId="14" r:id="rId5"/>
    <sheet name="Diario-Realizado-Sprint1" sheetId="15" r:id="rId6"/>
    <sheet name="Burns" sheetId="16" r:id="rId7"/>
    <sheet name="Retrospectiva Sprint 1" sheetId="17" r:id="rId8"/>
    <sheet name="Retrospectiva Sprint 2" sheetId="20" r:id="rId9"/>
  </sheets>
  <definedNames>
    <definedName name="_xlnm._FilterDatabase" localSheetId="1" hidden="1">'Backlog Producto'!$A$1:$D$18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6" i="15" l="1"/>
  <c r="AM6" i="15"/>
  <c r="AL6" i="15"/>
  <c r="AI6" i="15"/>
  <c r="AF6" i="15"/>
  <c r="AC6" i="15"/>
  <c r="AA6" i="15"/>
  <c r="X6" i="15"/>
  <c r="T6" i="15"/>
  <c r="Q6" i="15"/>
  <c r="P6" i="15"/>
  <c r="N6" i="15"/>
  <c r="L6" i="15"/>
  <c r="K6" i="15"/>
  <c r="I6" i="15"/>
  <c r="H6" i="15"/>
  <c r="G6" i="15"/>
  <c r="F6" i="15"/>
  <c r="E6" i="15"/>
  <c r="E7" i="15"/>
  <c r="AQ7" i="15"/>
  <c r="AP7" i="15"/>
  <c r="AO7" i="15"/>
  <c r="AN7" i="15"/>
  <c r="AM7" i="15"/>
  <c r="AL7" i="15"/>
  <c r="AK7" i="15"/>
  <c r="AJ7" i="15"/>
  <c r="AI7" i="15"/>
  <c r="AH7" i="15"/>
  <c r="AG7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L6" i="14"/>
  <c r="L7" i="14"/>
  <c r="H7" i="14"/>
  <c r="G7" i="14"/>
  <c r="F7" i="14"/>
  <c r="E7" i="14"/>
  <c r="E6" i="4"/>
  <c r="E5" i="4"/>
  <c r="E4" i="4"/>
  <c r="E3" i="4"/>
  <c r="F7" i="4"/>
  <c r="C7" i="4"/>
  <c r="E7" i="4"/>
  <c r="G7" i="4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C28" i="16"/>
  <c r="E28" i="16"/>
  <c r="D28" i="16"/>
  <c r="B27" i="16"/>
  <c r="AM3" i="15"/>
  <c r="AN3" i="15"/>
  <c r="AO3" i="15"/>
  <c r="AP3" i="15"/>
  <c r="AQ3" i="15"/>
  <c r="AM5" i="15"/>
  <c r="AN5" i="15"/>
  <c r="AO5" i="15"/>
  <c r="AP5" i="15"/>
  <c r="AQ5" i="15"/>
  <c r="AQ6" i="15"/>
  <c r="AK3" i="15"/>
  <c r="AL3" i="15"/>
  <c r="AK5" i="15"/>
  <c r="AL5" i="15"/>
  <c r="AB3" i="15"/>
  <c r="AC3" i="15"/>
  <c r="AD3" i="15"/>
  <c r="AE3" i="15"/>
  <c r="AF3" i="15"/>
  <c r="AG3" i="15"/>
  <c r="AH3" i="15"/>
  <c r="AI3" i="15"/>
  <c r="AJ3" i="15"/>
  <c r="AB5" i="15"/>
  <c r="AC5" i="15"/>
  <c r="AD5" i="15"/>
  <c r="AE5" i="15"/>
  <c r="AF5" i="15"/>
  <c r="AG5" i="15"/>
  <c r="AH5" i="15"/>
  <c r="AI5" i="15"/>
  <c r="AJ5" i="15"/>
  <c r="W3" i="15"/>
  <c r="X3" i="15"/>
  <c r="Y3" i="15"/>
  <c r="Z3" i="15"/>
  <c r="AA3" i="15"/>
  <c r="W5" i="15"/>
  <c r="X5" i="15"/>
  <c r="Y5" i="15"/>
  <c r="Z5" i="15"/>
  <c r="AA5" i="15"/>
  <c r="H3" i="15"/>
  <c r="I3" i="15"/>
  <c r="J3" i="15"/>
  <c r="K3" i="15"/>
  <c r="L3" i="15"/>
  <c r="M3" i="15"/>
  <c r="N3" i="15"/>
  <c r="O3" i="15"/>
  <c r="P3" i="15"/>
  <c r="Q3" i="15"/>
  <c r="R3" i="15"/>
  <c r="S3" i="15"/>
  <c r="T3" i="15"/>
  <c r="U3" i="15"/>
  <c r="V3" i="15"/>
  <c r="H5" i="15"/>
  <c r="I5" i="15"/>
  <c r="J5" i="15"/>
  <c r="K5" i="15"/>
  <c r="L5" i="15"/>
  <c r="M5" i="15"/>
  <c r="N5" i="15"/>
  <c r="O5" i="15"/>
  <c r="P5" i="15"/>
  <c r="Q5" i="15"/>
  <c r="R5" i="15"/>
  <c r="S5" i="15"/>
  <c r="T5" i="15"/>
  <c r="U5" i="15"/>
  <c r="V5" i="15"/>
  <c r="F5" i="15"/>
  <c r="AN3" i="14"/>
  <c r="AO3" i="14"/>
  <c r="AP3" i="14"/>
  <c r="AQ3" i="14"/>
  <c r="AN5" i="14"/>
  <c r="AO5" i="14"/>
  <c r="AP5" i="14"/>
  <c r="AQ5" i="14"/>
  <c r="AN6" i="14"/>
  <c r="AO6" i="14"/>
  <c r="AP6" i="14"/>
  <c r="AQ6" i="14"/>
  <c r="AN7" i="14"/>
  <c r="AO7" i="14"/>
  <c r="AP7" i="14"/>
  <c r="AQ7" i="14"/>
  <c r="I3" i="14"/>
  <c r="J3" i="14"/>
  <c r="K3" i="14"/>
  <c r="L3" i="14"/>
  <c r="M3" i="14"/>
  <c r="N3" i="14"/>
  <c r="O3" i="14"/>
  <c r="P3" i="14"/>
  <c r="Q3" i="14"/>
  <c r="R3" i="14"/>
  <c r="S3" i="14"/>
  <c r="T3" i="14"/>
  <c r="U3" i="14"/>
  <c r="V3" i="14"/>
  <c r="W3" i="14"/>
  <c r="X3" i="14"/>
  <c r="Y3" i="14"/>
  <c r="Z3" i="14"/>
  <c r="AA3" i="14"/>
  <c r="AB3" i="14"/>
  <c r="AC3" i="14"/>
  <c r="AD3" i="14"/>
  <c r="AE3" i="14"/>
  <c r="AF3" i="14"/>
  <c r="AG3" i="14"/>
  <c r="AH3" i="14"/>
  <c r="AI3" i="14"/>
  <c r="AJ3" i="14"/>
  <c r="AK3" i="14"/>
  <c r="AL3" i="14"/>
  <c r="AM3" i="14"/>
  <c r="I5" i="14"/>
  <c r="J5" i="14"/>
  <c r="K5" i="14"/>
  <c r="L5" i="14"/>
  <c r="M5" i="14"/>
  <c r="N5" i="14"/>
  <c r="O5" i="14"/>
  <c r="P5" i="14"/>
  <c r="Q5" i="14"/>
  <c r="R5" i="14"/>
  <c r="S5" i="14"/>
  <c r="T5" i="14"/>
  <c r="U5" i="14"/>
  <c r="V5" i="14"/>
  <c r="W5" i="14"/>
  <c r="X5" i="14"/>
  <c r="Y5" i="14"/>
  <c r="Z5" i="14"/>
  <c r="AA5" i="14"/>
  <c r="AB5" i="14"/>
  <c r="AC5" i="14"/>
  <c r="AD5" i="14"/>
  <c r="AE5" i="14"/>
  <c r="AF5" i="14"/>
  <c r="AG5" i="14"/>
  <c r="AH5" i="14"/>
  <c r="AI5" i="14"/>
  <c r="AJ5" i="14"/>
  <c r="AK5" i="14"/>
  <c r="AL5" i="14"/>
  <c r="AM5" i="14"/>
  <c r="I6" i="14"/>
  <c r="J6" i="14"/>
  <c r="K6" i="14"/>
  <c r="M6" i="14"/>
  <c r="N6" i="14"/>
  <c r="O6" i="14"/>
  <c r="P6" i="14"/>
  <c r="Q6" i="14"/>
  <c r="R6" i="14"/>
  <c r="S6" i="14"/>
  <c r="T6" i="14"/>
  <c r="U6" i="14"/>
  <c r="V6" i="14"/>
  <c r="W6" i="14"/>
  <c r="X6" i="14"/>
  <c r="Y6" i="14"/>
  <c r="Z6" i="14"/>
  <c r="AA6" i="14"/>
  <c r="AB6" i="14"/>
  <c r="AC6" i="14"/>
  <c r="AD6" i="14"/>
  <c r="AE6" i="14"/>
  <c r="AF6" i="14"/>
  <c r="AG6" i="14"/>
  <c r="AH6" i="14"/>
  <c r="AI6" i="14"/>
  <c r="AJ6" i="14"/>
  <c r="AK6" i="14"/>
  <c r="AL6" i="14"/>
  <c r="AM6" i="14"/>
  <c r="I7" i="14"/>
  <c r="J7" i="14"/>
  <c r="K7" i="14"/>
  <c r="M7" i="14"/>
  <c r="N7" i="14"/>
  <c r="O7" i="14"/>
  <c r="P7" i="14"/>
  <c r="Q7" i="14"/>
  <c r="R7" i="14"/>
  <c r="S7" i="14"/>
  <c r="T7" i="14"/>
  <c r="U7" i="14"/>
  <c r="V7" i="14"/>
  <c r="W7" i="14"/>
  <c r="X7" i="14"/>
  <c r="Y7" i="14"/>
  <c r="Z7" i="14"/>
  <c r="AA7" i="14"/>
  <c r="AB7" i="14"/>
  <c r="AC7" i="14"/>
  <c r="AD7" i="14"/>
  <c r="AE7" i="14"/>
  <c r="AF7" i="14"/>
  <c r="AG7" i="14"/>
  <c r="AH7" i="14"/>
  <c r="AI7" i="14"/>
  <c r="AJ7" i="14"/>
  <c r="AK7" i="14"/>
  <c r="AL7" i="14"/>
  <c r="AM7" i="14"/>
  <c r="S6" i="15" l="1"/>
  <c r="R6" i="15"/>
  <c r="Y6" i="15"/>
  <c r="W29" i="16"/>
  <c r="E29" i="16"/>
  <c r="X29" i="16"/>
  <c r="AA29" i="16"/>
  <c r="H29" i="16"/>
  <c r="I29" i="16"/>
  <c r="AE29" i="16"/>
  <c r="J29" i="16"/>
  <c r="AH29" i="16"/>
  <c r="M29" i="16"/>
  <c r="AJ29" i="16"/>
  <c r="R29" i="16"/>
  <c r="F29" i="16"/>
  <c r="AD29" i="16"/>
  <c r="N29" i="16"/>
  <c r="AL29" i="16"/>
  <c r="AC29" i="16"/>
  <c r="O29" i="16"/>
  <c r="AK29" i="16"/>
  <c r="Q29" i="16"/>
  <c r="AN29" i="16"/>
  <c r="T29" i="16"/>
  <c r="AO29" i="16"/>
  <c r="U29" i="16"/>
  <c r="V29" i="16"/>
  <c r="Z29" i="16"/>
  <c r="K29" i="16"/>
  <c r="S29" i="16"/>
  <c r="L29" i="16"/>
  <c r="AB29" i="16"/>
  <c r="P29" i="16"/>
  <c r="AF29" i="16"/>
  <c r="AG29" i="16"/>
  <c r="AI29" i="16"/>
  <c r="G29" i="16"/>
  <c r="Y29" i="16"/>
  <c r="AM29" i="16"/>
  <c r="C2" i="9" l="1"/>
  <c r="C2" i="19"/>
  <c r="C24" i="19"/>
  <c r="C19" i="19"/>
  <c r="C16" i="19"/>
  <c r="C13" i="19"/>
  <c r="C10" i="19"/>
  <c r="C6" i="19"/>
  <c r="C3" i="19"/>
  <c r="E6" i="14"/>
  <c r="F6" i="14"/>
  <c r="G6" i="14"/>
  <c r="H6" i="14"/>
  <c r="D18" i="14"/>
  <c r="D17" i="14"/>
  <c r="D16" i="14"/>
  <c r="D15" i="14"/>
  <c r="D14" i="14"/>
  <c r="D13" i="14"/>
  <c r="D12" i="14"/>
  <c r="D11" i="14"/>
  <c r="D10" i="14"/>
  <c r="D14" i="15"/>
  <c r="D12" i="15"/>
  <c r="D13" i="15"/>
  <c r="F4" i="4" s="1"/>
  <c r="D15" i="15"/>
  <c r="D16" i="15"/>
  <c r="D17" i="15"/>
  <c r="F5" i="4" s="1"/>
  <c r="D18" i="15"/>
  <c r="F6" i="4" s="1"/>
  <c r="D11" i="15"/>
  <c r="D10" i="15"/>
  <c r="G2" i="4"/>
  <c r="C2" i="4"/>
  <c r="E14" i="12"/>
  <c r="E2" i="4"/>
  <c r="D2" i="4"/>
  <c r="C3" i="9"/>
  <c r="G5" i="15"/>
  <c r="E5" i="15"/>
  <c r="G3" i="15"/>
  <c r="F3" i="15"/>
  <c r="E3" i="15"/>
  <c r="F3" i="4" l="1"/>
  <c r="AK6" i="15"/>
  <c r="J6" i="15"/>
  <c r="AB6" i="15"/>
  <c r="AD6" i="15"/>
  <c r="AE6" i="15"/>
  <c r="O6" i="15"/>
  <c r="M6" i="15"/>
  <c r="W6" i="15"/>
  <c r="AH6" i="15"/>
  <c r="AJ6" i="15"/>
  <c r="AG6" i="15"/>
  <c r="AO6" i="15"/>
  <c r="AP6" i="15"/>
  <c r="Z6" i="15"/>
  <c r="V6" i="15"/>
  <c r="U6" i="15"/>
  <c r="D6" i="14"/>
  <c r="D7" i="15"/>
  <c r="F2" i="4" l="1"/>
  <c r="D7" i="14"/>
  <c r="H3" i="14"/>
  <c r="G3" i="14"/>
  <c r="F3" i="14"/>
  <c r="E3" i="14"/>
  <c r="E5" i="14"/>
  <c r="F5" i="14"/>
  <c r="C14" i="9"/>
  <c r="C10" i="9"/>
  <c r="C7" i="9"/>
  <c r="G5" i="14" l="1"/>
  <c r="C29" i="16" l="1"/>
  <c r="H5" i="14"/>
  <c r="D29" i="16" l="1"/>
</calcChain>
</file>

<file path=xl/sharedStrings.xml><?xml version="1.0" encoding="utf-8"?>
<sst xmlns="http://schemas.openxmlformats.org/spreadsheetml/2006/main" count="246" uniqueCount="123">
  <si>
    <t>ID</t>
  </si>
  <si>
    <t>Nombre</t>
  </si>
  <si>
    <t>Estimado</t>
  </si>
  <si>
    <t>Notas</t>
  </si>
  <si>
    <t>ID0001</t>
  </si>
  <si>
    <t>ID0002</t>
  </si>
  <si>
    <t>ID0003</t>
  </si>
  <si>
    <t>ID0004</t>
  </si>
  <si>
    <t>Sprint</t>
  </si>
  <si>
    <t>ID0006</t>
  </si>
  <si>
    <t>ID0005</t>
  </si>
  <si>
    <t>ID0007</t>
  </si>
  <si>
    <t>ID0001_T1</t>
  </si>
  <si>
    <t>ID0001_T2</t>
  </si>
  <si>
    <t>ID0001_T3</t>
  </si>
  <si>
    <t>ID002_T1</t>
  </si>
  <si>
    <t>ID002_T2</t>
  </si>
  <si>
    <t>ID003_T1</t>
  </si>
  <si>
    <t>ID003_T2</t>
  </si>
  <si>
    <t>ID004_T1</t>
  </si>
  <si>
    <t>ID005_T1</t>
  </si>
  <si>
    <t>ID005_T2</t>
  </si>
  <si>
    <t>ID006_T1</t>
  </si>
  <si>
    <t>ID006_T2</t>
  </si>
  <si>
    <t>ID007_T1</t>
  </si>
  <si>
    <t>ID007_T2</t>
  </si>
  <si>
    <t>Imp</t>
  </si>
  <si>
    <t>Estado</t>
  </si>
  <si>
    <t>ID0008</t>
  </si>
  <si>
    <t>ID0008_T1</t>
  </si>
  <si>
    <t>ID0009</t>
  </si>
  <si>
    <t>ID0008_T2</t>
  </si>
  <si>
    <t>ID0008_T3</t>
  </si>
  <si>
    <t>ID0009_T1</t>
  </si>
  <si>
    <t>ID0009_T2</t>
  </si>
  <si>
    <t>ID0009_T3</t>
  </si>
  <si>
    <t>ID0008_T4</t>
  </si>
  <si>
    <t>Rol</t>
  </si>
  <si>
    <t>Fecha Prevista</t>
  </si>
  <si>
    <t>Fecha Real</t>
  </si>
  <si>
    <t>Sprint 1</t>
  </si>
  <si>
    <t>Responsabilidad</t>
  </si>
  <si>
    <t>Realizado</t>
  </si>
  <si>
    <t>Tareas pendientes</t>
  </si>
  <si>
    <t>Horas de trabajo pendientes</t>
  </si>
  <si>
    <t>ESFUERZO</t>
  </si>
  <si>
    <t>Responable</t>
  </si>
  <si>
    <t>Calendario de la iteración</t>
  </si>
  <si>
    <t>Tiempo a Dedicar Total</t>
  </si>
  <si>
    <t>Tiempo a Dedicar Diario</t>
  </si>
  <si>
    <t>Tiempo Restante</t>
  </si>
  <si>
    <t>Acumulado</t>
  </si>
  <si>
    <t>Sprints</t>
  </si>
  <si>
    <t>Miembros del equipo</t>
  </si>
  <si>
    <t>Scrum Manager</t>
  </si>
  <si>
    <t>Scrum Team</t>
  </si>
  <si>
    <t xml:space="preserve">Descripción del contexto </t>
  </si>
  <si>
    <t>Velocidad</t>
  </si>
  <si>
    <t>¿QUÉ HA IDO BIEN EN LA INTERACCIÓN?</t>
  </si>
  <si>
    <t>¿QUÉ ES MEJORABLE?</t>
  </si>
  <si>
    <t>ACCIONES DE MEJORA</t>
  </si>
  <si>
    <t>Meta</t>
  </si>
  <si>
    <t>Conclusiones</t>
  </si>
  <si>
    <t>Product Owner</t>
  </si>
  <si>
    <t>?</t>
  </si>
  <si>
    <t>Rodrigo</t>
  </si>
  <si>
    <t>Angelo</t>
  </si>
  <si>
    <t>Iván</t>
  </si>
  <si>
    <t>Sprint 2</t>
  </si>
  <si>
    <t>Como Usuario quiero visualizar estatuas de pokémons y cartas para reconocer emblemas de la saga</t>
  </si>
  <si>
    <t>Como Usuario quiero interactuar con poké balls para sentirme inmerso en la experiencia</t>
  </si>
  <si>
    <t>Como Usuario quiero disponer de botones que reproduzcan música para ambientar la experiencia</t>
  </si>
  <si>
    <t>Como Usuario quiero cada objeto escalado adecuadamente para poseer una percepción realista</t>
  </si>
  <si>
    <t>Como Usuario quiero rotar poké balls mientras se reproduce música para crear un efecto atractivo</t>
  </si>
  <si>
    <t>Como Usuario quiero iluminar estatuas, cuadros o pokéballs al acercarme para llamar mi atención</t>
  </si>
  <si>
    <t>Como Usuario quiero añadir panel interactivo con mini-quiz internacional para probar mis conocimientos</t>
  </si>
  <si>
    <t>Como Usuario quiero visualizar cuadros que contextualicen la saga para entender su evolución</t>
  </si>
  <si>
    <t>Tooltip interactivo con nombre y generación del Pokémon/carta</t>
  </si>
  <si>
    <t>Las Poké Balls emiten sonido y partículas al acercarse</t>
  </si>
  <si>
    <t>ID003_T3</t>
  </si>
  <si>
    <t>Se reproduce una animación de "apertura" al llegar al suelo</t>
  </si>
  <si>
    <t>Las Poké Balls se pueden coger y lanzar</t>
  </si>
  <si>
    <t>Los objetos mantienen proporciones coherentes con el espacio del museo</t>
  </si>
  <si>
    <t>Galería con línea de tiempo de la historia de Pokémon</t>
  </si>
  <si>
    <t>Tooltip interactivo con descripciones</t>
  </si>
  <si>
    <t>Botones ubicados en zonas estratégicas</t>
  </si>
  <si>
    <t>Funcionalidad Play/Pause y control de volumen</t>
  </si>
  <si>
    <t>Luces se encienden al acercarse a estatuas, cuadros o Poké Balls</t>
  </si>
  <si>
    <t>Efecto de atenuación (fade-in/fade-out)</t>
  </si>
  <si>
    <t>Las Poké Balls rotan automáticamente al reproducirse música</t>
  </si>
  <si>
    <t>Velocidad de rotación sincronizada con el tempo</t>
  </si>
  <si>
    <t>Efecto opcional de "flotar" en el aire</t>
  </si>
  <si>
    <t>Estatuas (Pikachu, Charmander, Bulbasaur y Squirtle) y cartas se muestran en zonas designadas del museo</t>
  </si>
  <si>
    <t>Sistema de localización/internacionalización</t>
  </si>
  <si>
    <t>Feedback visual y sistema de puntuación</t>
  </si>
  <si>
    <t>Base de datos local y gestión de contenido</t>
  </si>
  <si>
    <t>Sistema de 4 preguntas basado en siluetas de Pokémon</t>
  </si>
  <si>
    <t>Título del proyecto: Pokemon Legacy</t>
  </si>
  <si>
    <t>Configurar la base visual e interactiva básica del museo</t>
  </si>
  <si>
    <t>Enriquecer la experiencia con ambientación y contenido educativo</t>
  </si>
  <si>
    <t>Un museo que invita a futuros empleados a descubrir la historia, innovación y valores de The Pokémon Company, conectándolos con la esencia y legado de esta icónica franquicia</t>
  </si>
  <si>
    <t>Como Usuario quiero que modelos 3D se carguen desde repositorio público de GitHub</t>
  </si>
  <si>
    <t>Integración en Unity</t>
  </si>
  <si>
    <t>Configurar la carga de modelos desde GitHub</t>
  </si>
  <si>
    <t>Gestión de errores y pruebas</t>
  </si>
  <si>
    <t>Obtener feedback para el siguiente sprint</t>
  </si>
  <si>
    <t>Como Usuario quiero que modelos 3D se carguen desde GitHub para integrarlos en el proyecto</t>
  </si>
  <si>
    <t>finished</t>
  </si>
  <si>
    <t>not finished</t>
  </si>
  <si>
    <t>Sobreestimación del tiempo disponible</t>
  </si>
  <si>
    <t>Incompatibilidad de modelos</t>
  </si>
  <si>
    <t>Incompatibilidad de modelos + Creación de materiales para texturas problemáticas</t>
  </si>
  <si>
    <t>Creación de materiales para texturas problemáticas</t>
  </si>
  <si>
    <t>ID001_T1</t>
  </si>
  <si>
    <t>ID001_T3</t>
  </si>
  <si>
    <t>ID001_T2</t>
  </si>
  <si>
    <t xml:space="preserve"> Hemos implementado gran parte de la funcionalidad prevista en las hu's</t>
  </si>
  <si>
    <t>Estimación del tiempo</t>
  </si>
  <si>
    <t>A la hora de estimar tener en cuenta que no estamos demasiado familiarizados con Unity</t>
  </si>
  <si>
    <t>Hemos logrado una buena capacidad de trabajo</t>
  </si>
  <si>
    <t>Aprender más sobre Plastic SCM</t>
  </si>
  <si>
    <t>Gestión de conflictos en Plastic SCM</t>
  </si>
  <si>
    <t>Priorizar funcionalidades sobre visuales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</si>
</sst>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C0A]d\-mmm;@"/>
    <numFmt numFmtId="165" formatCode="[$-C0A]d\-mmm\-yy;@"/>
    <numFmt numFmtId="166" formatCode="0.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4"/>
      <color theme="0"/>
      <name val="Calibri"/>
      <family val="2"/>
      <scheme val="minor"/>
    </font>
    <font>
      <sz val="10"/>
      <name val="Arial"/>
      <family val="2"/>
    </font>
    <font>
      <i/>
      <sz val="10"/>
      <name val="Arial"/>
      <family val="2"/>
    </font>
    <font>
      <b/>
      <sz val="14"/>
      <color rgb="FF002060"/>
      <name val="Calibri"/>
      <family val="2"/>
      <scheme val="minor"/>
    </font>
    <font>
      <sz val="10"/>
      <color indexed="23"/>
      <name val="Arial"/>
      <family val="2"/>
    </font>
    <font>
      <sz val="12"/>
      <name val="Arial"/>
      <family val="2"/>
    </font>
    <font>
      <sz val="14"/>
      <color rgb="FF002060"/>
      <name val="Calibri"/>
      <family val="2"/>
      <scheme val="minor"/>
    </font>
    <font>
      <b/>
      <sz val="11"/>
      <color indexed="8"/>
      <name val="Calibri"/>
      <family val="2"/>
    </font>
    <font>
      <b/>
      <sz val="16"/>
      <color theme="3" tint="-0.249977111117893"/>
      <name val="Arial"/>
      <family val="2"/>
    </font>
    <font>
      <sz val="11"/>
      <color theme="3" tint="-0.249977111117893"/>
      <name val="Calibri"/>
      <family val="2"/>
      <scheme val="minor"/>
    </font>
    <font>
      <b/>
      <sz val="14"/>
      <color theme="3" tint="-0.249977111117893"/>
      <name val="Arial"/>
      <family val="2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indexed="22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120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1" xfId="0" applyBorder="1"/>
    <xf numFmtId="16" fontId="0" fillId="0" borderId="0" xfId="0" applyNumberFormat="1" applyAlignment="1">
      <alignment horizont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wrapText="1"/>
    </xf>
    <xf numFmtId="0" fontId="0" fillId="4" borderId="1" xfId="0" applyFill="1" applyBorder="1" applyAlignment="1">
      <alignment horizontal="center" wrapText="1"/>
    </xf>
    <xf numFmtId="0" fontId="0" fillId="0" borderId="0" xfId="0" applyAlignment="1">
      <alignment horizontal="right"/>
    </xf>
    <xf numFmtId="0" fontId="2" fillId="0" borderId="0" xfId="0" applyFont="1"/>
    <xf numFmtId="0" fontId="5" fillId="0" borderId="0" xfId="0" applyFont="1"/>
    <xf numFmtId="16" fontId="0" fillId="0" borderId="0" xfId="0" applyNumberFormat="1" applyAlignment="1">
      <alignment wrapText="1"/>
    </xf>
    <xf numFmtId="16" fontId="0" fillId="0" borderId="0" xfId="0" applyNumberFormat="1" applyAlignment="1">
      <alignment horizontal="right" wrapText="1"/>
    </xf>
    <xf numFmtId="0" fontId="0" fillId="0" borderId="0" xfId="0" quotePrefix="1"/>
    <xf numFmtId="0" fontId="0" fillId="0" borderId="0" xfId="0" applyAlignment="1">
      <alignment horizontal="left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4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4" fillId="0" borderId="0" xfId="2"/>
    <xf numFmtId="164" fontId="4" fillId="0" borderId="0" xfId="2" applyNumberFormat="1"/>
    <xf numFmtId="0" fontId="7" fillId="8" borderId="10" xfId="2" applyFont="1" applyFill="1" applyBorder="1" applyAlignment="1">
      <alignment horizontal="center"/>
    </xf>
    <xf numFmtId="0" fontId="4" fillId="0" borderId="0" xfId="2" applyAlignment="1">
      <alignment horizontal="center" vertical="justify"/>
    </xf>
    <xf numFmtId="164" fontId="7" fillId="8" borderId="10" xfId="2" applyNumberFormat="1" applyFont="1" applyFill="1" applyBorder="1" applyAlignment="1">
      <alignment horizontal="center" vertical="justify" textRotation="90"/>
    </xf>
    <xf numFmtId="1" fontId="4" fillId="9" borderId="10" xfId="2" applyNumberFormat="1" applyFill="1" applyBorder="1" applyAlignment="1">
      <alignment horizontal="center" vertical="justify"/>
    </xf>
    <xf numFmtId="0" fontId="8" fillId="0" borderId="0" xfId="2" applyFont="1" applyAlignment="1">
      <alignment vertical="center"/>
    </xf>
    <xf numFmtId="166" fontId="8" fillId="2" borderId="10" xfId="2" applyNumberFormat="1" applyFont="1" applyFill="1" applyBorder="1" applyAlignment="1">
      <alignment horizontal="right" vertical="justify"/>
    </xf>
    <xf numFmtId="1" fontId="8" fillId="10" borderId="10" xfId="2" applyNumberFormat="1" applyFont="1" applyFill="1" applyBorder="1" applyAlignment="1">
      <alignment horizontal="right" vertical="justify"/>
    </xf>
    <xf numFmtId="166" fontId="8" fillId="2" borderId="10" xfId="2" applyNumberFormat="1" applyFont="1" applyFill="1" applyBorder="1"/>
    <xf numFmtId="0" fontId="8" fillId="10" borderId="10" xfId="2" applyFont="1" applyFill="1" applyBorder="1" applyAlignment="1">
      <alignment horizontal="right"/>
    </xf>
    <xf numFmtId="0" fontId="9" fillId="0" borderId="0" xfId="0" applyFont="1" applyAlignment="1">
      <alignment horizontal="left" vertical="center" wrapText="1"/>
    </xf>
    <xf numFmtId="166" fontId="4" fillId="0" borderId="0" xfId="2" applyNumberFormat="1"/>
    <xf numFmtId="166" fontId="7" fillId="8" borderId="10" xfId="2" applyNumberFormat="1" applyFont="1" applyFill="1" applyBorder="1" applyAlignment="1">
      <alignment horizontal="center"/>
    </xf>
    <xf numFmtId="166" fontId="4" fillId="9" borderId="10" xfId="2" applyNumberFormat="1" applyFill="1" applyBorder="1" applyAlignment="1">
      <alignment horizontal="center" vertical="justify"/>
    </xf>
    <xf numFmtId="166" fontId="8" fillId="10" borderId="10" xfId="2" applyNumberFormat="1" applyFont="1" applyFill="1" applyBorder="1" applyAlignment="1">
      <alignment horizontal="right" vertical="justify"/>
    </xf>
    <xf numFmtId="166" fontId="8" fillId="10" borderId="10" xfId="2" applyNumberFormat="1" applyFont="1" applyFill="1" applyBorder="1" applyAlignment="1">
      <alignment horizontal="right"/>
    </xf>
    <xf numFmtId="166" fontId="0" fillId="0" borderId="0" xfId="0" applyNumberFormat="1" applyAlignment="1">
      <alignment wrapText="1"/>
    </xf>
    <xf numFmtId="0" fontId="10" fillId="0" borderId="0" xfId="0" applyFont="1"/>
    <xf numFmtId="0" fontId="0" fillId="5" borderId="0" xfId="0" applyFill="1"/>
    <xf numFmtId="0" fontId="0" fillId="0" borderId="0" xfId="0" applyAlignment="1">
      <alignment horizontal="center"/>
    </xf>
    <xf numFmtId="0" fontId="4" fillId="0" borderId="0" xfId="2" applyAlignment="1">
      <alignment horizontal="center"/>
    </xf>
    <xf numFmtId="165" fontId="7" fillId="0" borderId="0" xfId="2" applyNumberFormat="1" applyFont="1" applyAlignment="1">
      <alignment horizontal="center"/>
    </xf>
    <xf numFmtId="1" fontId="7" fillId="0" borderId="0" xfId="2" applyNumberFormat="1" applyFont="1" applyAlignment="1">
      <alignment horizontal="center"/>
    </xf>
    <xf numFmtId="0" fontId="2" fillId="11" borderId="4" xfId="0" applyFont="1" applyFill="1" applyBorder="1"/>
    <xf numFmtId="0" fontId="2" fillId="11" borderId="5" xfId="0" applyFont="1" applyFill="1" applyBorder="1"/>
    <xf numFmtId="0" fontId="2" fillId="11" borderId="6" xfId="0" applyFont="1" applyFill="1" applyBorder="1"/>
    <xf numFmtId="0" fontId="2" fillId="11" borderId="7" xfId="0" applyFont="1" applyFill="1" applyBorder="1"/>
    <xf numFmtId="0" fontId="2" fillId="11" borderId="3" xfId="0" applyFont="1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17" xfId="0" applyFont="1" applyBorder="1"/>
    <xf numFmtId="0" fontId="2" fillId="0" borderId="18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23" xfId="0" applyFont="1" applyBorder="1"/>
    <xf numFmtId="0" fontId="2" fillId="0" borderId="24" xfId="0" applyFont="1" applyBorder="1"/>
    <xf numFmtId="0" fontId="2" fillId="0" borderId="25" xfId="0" applyFont="1" applyBorder="1"/>
    <xf numFmtId="0" fontId="14" fillId="12" borderId="14" xfId="0" applyFont="1" applyFill="1" applyBorder="1" applyAlignment="1">
      <alignment horizontal="center" vertical="center"/>
    </xf>
    <xf numFmtId="0" fontId="0" fillId="0" borderId="14" xfId="0" applyBorder="1" applyAlignment="1">
      <alignment wrapText="1"/>
    </xf>
    <xf numFmtId="0" fontId="0" fillId="0" borderId="14" xfId="0" applyBorder="1" applyAlignment="1">
      <alignment horizontal="center" wrapText="1"/>
    </xf>
    <xf numFmtId="0" fontId="0" fillId="0" borderId="0" xfId="0" applyAlignment="1">
      <alignment horizontal="left"/>
    </xf>
    <xf numFmtId="0" fontId="2" fillId="11" borderId="8" xfId="0" applyFont="1" applyFill="1" applyBorder="1"/>
    <xf numFmtId="0" fontId="2" fillId="11" borderId="9" xfId="0" applyFont="1" applyFill="1" applyBorder="1"/>
    <xf numFmtId="14" fontId="0" fillId="0" borderId="14" xfId="0" applyNumberFormat="1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20" xfId="0" applyBorder="1" applyAlignment="1">
      <alignment horizontal="left"/>
    </xf>
    <xf numFmtId="14" fontId="0" fillId="0" borderId="21" xfId="0" applyNumberFormat="1" applyBorder="1" applyAlignment="1">
      <alignment horizontal="left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4" borderId="14" xfId="0" applyFill="1" applyBorder="1" applyAlignment="1">
      <alignment wrapText="1"/>
    </xf>
    <xf numFmtId="0" fontId="6" fillId="4" borderId="14" xfId="0" applyFont="1" applyFill="1" applyBorder="1" applyAlignment="1">
      <alignment horizontal="center" wrapText="1"/>
    </xf>
    <xf numFmtId="0" fontId="0" fillId="0" borderId="5" xfId="0" applyBorder="1"/>
    <xf numFmtId="0" fontId="0" fillId="0" borderId="7" xfId="0" applyBorder="1"/>
    <xf numFmtId="0" fontId="0" fillId="0" borderId="6" xfId="0" applyBorder="1"/>
    <xf numFmtId="0" fontId="14" fillId="0" borderId="0" xfId="0" applyFont="1" applyAlignment="1">
      <alignment wrapText="1"/>
    </xf>
    <xf numFmtId="10" fontId="0" fillId="0" borderId="14" xfId="0" applyNumberFormat="1" applyBorder="1" applyAlignment="1">
      <alignment horizontal="left"/>
    </xf>
    <xf numFmtId="0" fontId="0" fillId="0" borderId="19" xfId="0" applyBorder="1" applyAlignment="1">
      <alignment horizontal="left" wrapText="1"/>
    </xf>
    <xf numFmtId="0" fontId="14" fillId="0" borderId="1" xfId="0" applyFont="1" applyBorder="1" applyAlignment="1">
      <alignment wrapText="1"/>
    </xf>
    <xf numFmtId="0" fontId="14" fillId="0" borderId="14" xfId="0" applyFont="1" applyBorder="1" applyAlignment="1">
      <alignment wrapText="1"/>
    </xf>
    <xf numFmtId="9" fontId="0" fillId="0" borderId="2" xfId="0" applyNumberForma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0" fontId="6" fillId="4" borderId="1" xfId="0" applyNumberFormat="1" applyFont="1" applyFill="1" applyBorder="1" applyAlignment="1">
      <alignment horizontal="center" vertical="center" wrapText="1"/>
    </xf>
    <xf numFmtId="10" fontId="6" fillId="4" borderId="2" xfId="0" applyNumberFormat="1" applyFont="1" applyFill="1" applyBorder="1" applyAlignment="1">
      <alignment horizontal="center" wrapText="1"/>
    </xf>
    <xf numFmtId="0" fontId="0" fillId="0" borderId="14" xfId="0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3" fillId="3" borderId="29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8" fillId="0" borderId="0" xfId="2" applyFont="1" applyAlignment="1">
      <alignment horizontal="right" vertical="center"/>
    </xf>
    <xf numFmtId="0" fontId="8" fillId="0" borderId="0" xfId="2" applyFont="1" applyAlignment="1">
      <alignment vertical="center"/>
    </xf>
    <xf numFmtId="0" fontId="8" fillId="0" borderId="11" xfId="2" applyFont="1" applyBorder="1" applyAlignment="1">
      <alignment vertical="center"/>
    </xf>
    <xf numFmtId="0" fontId="3" fillId="6" borderId="30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3" fillId="6" borderId="14" xfId="0" applyFont="1" applyFill="1" applyBorder="1" applyAlignment="1">
      <alignment horizontal="center" vertical="center" wrapText="1"/>
    </xf>
    <xf numFmtId="0" fontId="3" fillId="6" borderId="14" xfId="0" applyFont="1" applyFill="1" applyBorder="1" applyAlignment="1">
      <alignment horizontal="center" vertical="center" wrapText="1"/>
    </xf>
    <xf numFmtId="0" fontId="0" fillId="0" borderId="14" xfId="0" quotePrefix="1" applyBorder="1" applyAlignment="1">
      <alignment horizontal="left" wrapText="1"/>
    </xf>
    <xf numFmtId="0" fontId="0" fillId="0" borderId="14" xfId="0" applyBorder="1" applyAlignment="1">
      <alignment horizontal="left" wrapText="1"/>
    </xf>
    <xf numFmtId="2" fontId="8" fillId="0" borderId="0" xfId="2" applyNumberFormat="1" applyFont="1" applyAlignment="1">
      <alignment vertical="center"/>
    </xf>
  </cellXfs>
  <cellStyles count="3">
    <cellStyle name="Normal" xfId="0" builtinId="0"/>
    <cellStyle name="Normal 2" xfId="2" xr:uid="{00000000-0005-0000-0000-000001000000}"/>
    <cellStyle name="Normal 4" xfId="1" xr:uid="{00000000-0005-0000-0000-000002000000}"/>
  </cellStyles>
  <dxfs count="4"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</dxfs>
  <tableStyles count="0" defaultTableStyle="TableStyleMedium9" defaultPivotStyle="PivotStyleLight16"/>
  <colors>
    <mruColors>
      <color rgb="FFCB005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Esfuerzo previsto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Burns!$C$27:$AO$27</c:f>
              <c:numCache>
                <c:formatCode>[$-C0A]d\-mmm;@</c:formatCode>
                <c:ptCount val="39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45959</c:v>
                </c:pt>
                <c:pt idx="29">
                  <c:v>45960</c:v>
                </c:pt>
                <c:pt idx="30">
                  <c:v>45961</c:v>
                </c:pt>
                <c:pt idx="31">
                  <c:v>45962</c:v>
                </c:pt>
                <c:pt idx="32">
                  <c:v>45963</c:v>
                </c:pt>
                <c:pt idx="33">
                  <c:v>45964</c:v>
                </c:pt>
                <c:pt idx="34">
                  <c:v>45965</c:v>
                </c:pt>
                <c:pt idx="35">
                  <c:v>45966</c:v>
                </c:pt>
                <c:pt idx="36">
                  <c:v>45967</c:v>
                </c:pt>
                <c:pt idx="37">
                  <c:v>45968</c:v>
                </c:pt>
                <c:pt idx="38">
                  <c:v>45969</c:v>
                </c:pt>
              </c:numCache>
            </c:numRef>
          </c:cat>
          <c:val>
            <c:numRef>
              <c:f>Burns!$C$29:$AO$29</c:f>
              <c:numCache>
                <c:formatCode>0.00</c:formatCode>
                <c:ptCount val="39"/>
                <c:pt idx="0">
                  <c:v>23</c:v>
                </c:pt>
                <c:pt idx="1">
                  <c:v>21.820512820512821</c:v>
                </c:pt>
                <c:pt idx="2">
                  <c:v>21.23076923076923</c:v>
                </c:pt>
                <c:pt idx="3">
                  <c:v>20.641025641025642</c:v>
                </c:pt>
                <c:pt idx="4">
                  <c:v>20.051282051282051</c:v>
                </c:pt>
                <c:pt idx="5">
                  <c:v>19.46153846153846</c:v>
                </c:pt>
                <c:pt idx="6">
                  <c:v>18.871794871794872</c:v>
                </c:pt>
                <c:pt idx="7">
                  <c:v>18.282051282051281</c:v>
                </c:pt>
                <c:pt idx="8">
                  <c:v>17.692307692307693</c:v>
                </c:pt>
                <c:pt idx="9">
                  <c:v>17.102564102564102</c:v>
                </c:pt>
                <c:pt idx="10">
                  <c:v>16.512820512820515</c:v>
                </c:pt>
                <c:pt idx="11">
                  <c:v>15.923076923076923</c:v>
                </c:pt>
                <c:pt idx="12">
                  <c:v>15.333333333333336</c:v>
                </c:pt>
                <c:pt idx="13">
                  <c:v>14.743589743589745</c:v>
                </c:pt>
                <c:pt idx="14">
                  <c:v>14.153846153846155</c:v>
                </c:pt>
                <c:pt idx="15">
                  <c:v>13.564102564102566</c:v>
                </c:pt>
                <c:pt idx="16">
                  <c:v>12.974358974358976</c:v>
                </c:pt>
                <c:pt idx="17">
                  <c:v>12.384615384615387</c:v>
                </c:pt>
                <c:pt idx="18">
                  <c:v>11.794871794871797</c:v>
                </c:pt>
                <c:pt idx="19">
                  <c:v>11.205128205128208</c:v>
                </c:pt>
                <c:pt idx="20">
                  <c:v>10.615384615384619</c:v>
                </c:pt>
                <c:pt idx="21">
                  <c:v>10.025641025641029</c:v>
                </c:pt>
                <c:pt idx="22">
                  <c:v>9.4358974358974397</c:v>
                </c:pt>
                <c:pt idx="23">
                  <c:v>8.8461538461538503</c:v>
                </c:pt>
                <c:pt idx="24">
                  <c:v>8.2564102564102608</c:v>
                </c:pt>
                <c:pt idx="25">
                  <c:v>7.6666666666666714</c:v>
                </c:pt>
                <c:pt idx="26">
                  <c:v>7.076923076923082</c:v>
                </c:pt>
                <c:pt idx="27">
                  <c:v>6.4871794871794926</c:v>
                </c:pt>
                <c:pt idx="28">
                  <c:v>5.8974358974359014</c:v>
                </c:pt>
                <c:pt idx="29">
                  <c:v>5.3076923076923102</c:v>
                </c:pt>
                <c:pt idx="30">
                  <c:v>4.717948717948719</c:v>
                </c:pt>
                <c:pt idx="31">
                  <c:v>4.1282051282051277</c:v>
                </c:pt>
                <c:pt idx="32">
                  <c:v>3.5384615384615365</c:v>
                </c:pt>
                <c:pt idx="33">
                  <c:v>2.9487179487179453</c:v>
                </c:pt>
                <c:pt idx="34">
                  <c:v>2.3589743589743541</c:v>
                </c:pt>
                <c:pt idx="35">
                  <c:v>1.7692307692307629</c:v>
                </c:pt>
                <c:pt idx="36">
                  <c:v>1.1794871794871717</c:v>
                </c:pt>
                <c:pt idx="37">
                  <c:v>0.58974358974358054</c:v>
                </c:pt>
                <c:pt idx="3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38-41E5-A58C-0B14D6FC473A}"/>
            </c:ext>
          </c:extLst>
        </c:ser>
        <c:ser>
          <c:idx val="1"/>
          <c:order val="1"/>
          <c:tx>
            <c:v>Esfuerzo restante</c:v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Burns!$C$27:$AO$27</c:f>
              <c:numCache>
                <c:formatCode>[$-C0A]d\-mmm;@</c:formatCode>
                <c:ptCount val="39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45959</c:v>
                </c:pt>
                <c:pt idx="29">
                  <c:v>45960</c:v>
                </c:pt>
                <c:pt idx="30">
                  <c:v>45961</c:v>
                </c:pt>
                <c:pt idx="31">
                  <c:v>45962</c:v>
                </c:pt>
                <c:pt idx="32">
                  <c:v>45963</c:v>
                </c:pt>
                <c:pt idx="33">
                  <c:v>45964</c:v>
                </c:pt>
                <c:pt idx="34">
                  <c:v>45965</c:v>
                </c:pt>
                <c:pt idx="35">
                  <c:v>45966</c:v>
                </c:pt>
                <c:pt idx="36">
                  <c:v>45967</c:v>
                </c:pt>
                <c:pt idx="37">
                  <c:v>45968</c:v>
                </c:pt>
                <c:pt idx="38">
                  <c:v>45969</c:v>
                </c:pt>
              </c:numCache>
            </c:numRef>
          </c:cat>
          <c:val>
            <c:numRef>
              <c:f>'Diario-Restante-Sprint1'!$E$7:$AQ$7</c:f>
              <c:numCache>
                <c:formatCode>0.0</c:formatCode>
                <c:ptCount val="39"/>
                <c:pt idx="0">
                  <c:v>23</c:v>
                </c:pt>
                <c:pt idx="1">
                  <c:v>23</c:v>
                </c:pt>
                <c:pt idx="2">
                  <c:v>23</c:v>
                </c:pt>
                <c:pt idx="3">
                  <c:v>23</c:v>
                </c:pt>
                <c:pt idx="4">
                  <c:v>23</c:v>
                </c:pt>
                <c:pt idx="5">
                  <c:v>21</c:v>
                </c:pt>
                <c:pt idx="6">
                  <c:v>21</c:v>
                </c:pt>
                <c:pt idx="7">
                  <c:v>21</c:v>
                </c:pt>
                <c:pt idx="8">
                  <c:v>21</c:v>
                </c:pt>
                <c:pt idx="9">
                  <c:v>21</c:v>
                </c:pt>
                <c:pt idx="10">
                  <c:v>21</c:v>
                </c:pt>
                <c:pt idx="11">
                  <c:v>21</c:v>
                </c:pt>
                <c:pt idx="12">
                  <c:v>19</c:v>
                </c:pt>
                <c:pt idx="13">
                  <c:v>19</c:v>
                </c:pt>
                <c:pt idx="14">
                  <c:v>19</c:v>
                </c:pt>
                <c:pt idx="15">
                  <c:v>19</c:v>
                </c:pt>
                <c:pt idx="16">
                  <c:v>17</c:v>
                </c:pt>
                <c:pt idx="17">
                  <c:v>11</c:v>
                </c:pt>
                <c:pt idx="18">
                  <c:v>11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5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38-41E5-A58C-0B14D6FC47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44619408"/>
        <c:axId val="44617728"/>
      </c:lineChart>
      <c:dateAx>
        <c:axId val="44619408"/>
        <c:scaling>
          <c:orientation val="minMax"/>
        </c:scaling>
        <c:delete val="0"/>
        <c:axPos val="b"/>
        <c:numFmt formatCode="[$-C0A]d\-mmm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617728"/>
        <c:crosses val="autoZero"/>
        <c:auto val="1"/>
        <c:lblOffset val="100"/>
        <c:baseTimeUnit val="days"/>
      </c:dateAx>
      <c:valAx>
        <c:axId val="44617728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619408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Acumulado</c:v>
          </c:tx>
          <c:marker>
            <c:symbol val="none"/>
          </c:marker>
          <c:cat>
            <c:numRef>
              <c:f>Burns!$C$27:$AO$27</c:f>
              <c:numCache>
                <c:formatCode>[$-C0A]d\-mmm;@</c:formatCode>
                <c:ptCount val="39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45959</c:v>
                </c:pt>
                <c:pt idx="29">
                  <c:v>45960</c:v>
                </c:pt>
                <c:pt idx="30">
                  <c:v>45961</c:v>
                </c:pt>
                <c:pt idx="31">
                  <c:v>45962</c:v>
                </c:pt>
                <c:pt idx="32">
                  <c:v>45963</c:v>
                </c:pt>
                <c:pt idx="33">
                  <c:v>45964</c:v>
                </c:pt>
                <c:pt idx="34">
                  <c:v>45965</c:v>
                </c:pt>
                <c:pt idx="35">
                  <c:v>45966</c:v>
                </c:pt>
                <c:pt idx="36">
                  <c:v>45967</c:v>
                </c:pt>
                <c:pt idx="37">
                  <c:v>45968</c:v>
                </c:pt>
                <c:pt idx="38">
                  <c:v>45969</c:v>
                </c:pt>
              </c:numCache>
            </c:numRef>
          </c:cat>
          <c:val>
            <c:numRef>
              <c:f>'Diario-Realizado-Sprint1'!$E$6:$AQ$6</c:f>
              <c:numCache>
                <c:formatCode>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8</c:v>
                </c:pt>
                <c:pt idx="17">
                  <c:v>14</c:v>
                </c:pt>
                <c:pt idx="18">
                  <c:v>16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  <c:pt idx="24">
                  <c:v>26</c:v>
                </c:pt>
                <c:pt idx="25">
                  <c:v>26</c:v>
                </c:pt>
                <c:pt idx="26">
                  <c:v>27</c:v>
                </c:pt>
                <c:pt idx="27">
                  <c:v>27</c:v>
                </c:pt>
                <c:pt idx="28">
                  <c:v>27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34</c:v>
                </c:pt>
                <c:pt idx="34">
                  <c:v>34</c:v>
                </c:pt>
                <c:pt idx="35">
                  <c:v>34</c:v>
                </c:pt>
                <c:pt idx="36">
                  <c:v>34</c:v>
                </c:pt>
                <c:pt idx="37">
                  <c:v>36</c:v>
                </c:pt>
                <c:pt idx="3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E3-49D5-94E6-7FD91FF947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616048"/>
        <c:axId val="315467440"/>
      </c:lineChart>
      <c:dateAx>
        <c:axId val="44616048"/>
        <c:scaling>
          <c:orientation val="minMax"/>
        </c:scaling>
        <c:delete val="0"/>
        <c:axPos val="b"/>
        <c:numFmt formatCode="[$-C0A]d\-mmm;@" sourceLinked="1"/>
        <c:majorTickMark val="out"/>
        <c:minorTickMark val="none"/>
        <c:tickLblPos val="nextTo"/>
        <c:crossAx val="315467440"/>
        <c:crosses val="autoZero"/>
        <c:auto val="1"/>
        <c:lblOffset val="100"/>
        <c:baseTimeUnit val="days"/>
      </c:dateAx>
      <c:valAx>
        <c:axId val="315467440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4461604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571500</xdr:colOff>
      <xdr:row>8</xdr:row>
      <xdr:rowOff>152400</xdr:rowOff>
    </xdr:from>
    <xdr:to>
      <xdr:col>4</xdr:col>
      <xdr:colOff>2631761</xdr:colOff>
      <xdr:row>20</xdr:row>
      <xdr:rowOff>98648</xdr:rowOff>
    </xdr:to>
    <xdr:pic>
      <xdr:nvPicPr>
        <xdr:cNvPr id="2" name="5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01425" y="1809750"/>
          <a:ext cx="2060261" cy="22322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571500</xdr:colOff>
      <xdr:row>8</xdr:row>
      <xdr:rowOff>152400</xdr:rowOff>
    </xdr:from>
    <xdr:to>
      <xdr:col>4</xdr:col>
      <xdr:colOff>2631761</xdr:colOff>
      <xdr:row>20</xdr:row>
      <xdr:rowOff>98648</xdr:rowOff>
    </xdr:to>
    <xdr:pic>
      <xdr:nvPicPr>
        <xdr:cNvPr id="2" name="5 Imagen">
          <a:extLst>
            <a:ext uri="{FF2B5EF4-FFF2-40B4-BE49-F238E27FC236}">
              <a16:creationId xmlns:a16="http://schemas.microsoft.com/office/drawing/2014/main" id="{5151C258-D2D2-46F3-9B43-4765C142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449175" y="1809750"/>
          <a:ext cx="2060261" cy="223224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721178</xdr:colOff>
      <xdr:row>0</xdr:row>
      <xdr:rowOff>122464</xdr:rowOff>
    </xdr:from>
    <xdr:to>
      <xdr:col>13</xdr:col>
      <xdr:colOff>770964</xdr:colOff>
      <xdr:row>23</xdr:row>
      <xdr:rowOff>149677</xdr:rowOff>
    </xdr:to>
    <xdr:graphicFrame macro="">
      <xdr:nvGraphicFramePr>
        <xdr:cNvPr id="4" name="3 Gráfico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761999</xdr:colOff>
      <xdr:row>31</xdr:row>
      <xdr:rowOff>36738</xdr:rowOff>
    </xdr:from>
    <xdr:to>
      <xdr:col>14</xdr:col>
      <xdr:colOff>17318</xdr:colOff>
      <xdr:row>54</xdr:row>
      <xdr:rowOff>95249</xdr:rowOff>
    </xdr:to>
    <xdr:graphicFrame macro="">
      <xdr:nvGraphicFramePr>
        <xdr:cNvPr id="5" name="4 Gráfico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19"/>
  <sheetViews>
    <sheetView tabSelected="1" zoomScaleNormal="100" workbookViewId="0">
      <selection activeCell="D28" sqref="D28"/>
    </sheetView>
  </sheetViews>
  <sheetFormatPr baseColWidth="10" defaultRowHeight="15" x14ac:dyDescent="0.25"/>
  <cols>
    <col min="3" max="3" width="20.28515625" bestFit="1" customWidth="1"/>
    <col min="4" max="4" width="17.140625" customWidth="1"/>
    <col min="5" max="5" width="15.140625" customWidth="1"/>
    <col min="6" max="6" width="14.42578125" customWidth="1"/>
    <col min="11" max="11" width="50.7109375" customWidth="1"/>
  </cols>
  <sheetData>
    <row r="2" spans="1:11" ht="20.25" x14ac:dyDescent="0.3">
      <c r="B2" s="57" t="s">
        <v>97</v>
      </c>
      <c r="C2" s="58"/>
      <c r="D2" s="58"/>
      <c r="E2" s="59"/>
    </row>
    <row r="3" spans="1:11" ht="15.75" thickBot="1" x14ac:dyDescent="0.3">
      <c r="A3" s="13"/>
      <c r="B3" s="14"/>
    </row>
    <row r="4" spans="1:11" ht="19.5" thickBot="1" x14ac:dyDescent="0.3">
      <c r="A4" s="13"/>
      <c r="B4" s="99" t="s">
        <v>53</v>
      </c>
      <c r="C4" s="100"/>
    </row>
    <row r="5" spans="1:11" ht="15.75" thickBot="1" x14ac:dyDescent="0.3">
      <c r="A5" s="13"/>
      <c r="B5" s="53" t="s">
        <v>1</v>
      </c>
      <c r="C5" s="56" t="s">
        <v>37</v>
      </c>
      <c r="D5" s="55" t="s">
        <v>41</v>
      </c>
      <c r="E5" s="55"/>
      <c r="F5" s="55"/>
      <c r="G5" s="55"/>
      <c r="H5" s="55"/>
      <c r="I5" s="55"/>
      <c r="J5" s="55"/>
      <c r="K5" s="54"/>
    </row>
    <row r="6" spans="1:11" x14ac:dyDescent="0.25">
      <c r="A6" s="13"/>
      <c r="B6" s="62" t="s">
        <v>66</v>
      </c>
      <c r="C6" s="61" t="s">
        <v>63</v>
      </c>
      <c r="D6" s="61"/>
      <c r="E6" s="61"/>
      <c r="F6" s="61"/>
      <c r="G6" s="61"/>
      <c r="H6" s="61"/>
      <c r="I6" s="61"/>
      <c r="J6" s="61"/>
      <c r="K6" s="63"/>
    </row>
    <row r="7" spans="1:11" x14ac:dyDescent="0.25">
      <c r="A7" s="13"/>
      <c r="B7" s="64" t="s">
        <v>65</v>
      </c>
      <c r="C7" s="60" t="s">
        <v>54</v>
      </c>
      <c r="D7" s="60"/>
      <c r="E7" s="60"/>
      <c r="F7" s="60"/>
      <c r="G7" s="60"/>
      <c r="H7" s="60"/>
      <c r="I7" s="60"/>
      <c r="J7" s="60"/>
      <c r="K7" s="65"/>
    </row>
    <row r="8" spans="1:11" x14ac:dyDescent="0.25">
      <c r="A8" s="13"/>
      <c r="B8" s="69" t="s">
        <v>66</v>
      </c>
      <c r="C8" s="70" t="s">
        <v>55</v>
      </c>
      <c r="D8" s="70"/>
      <c r="E8" s="70"/>
      <c r="F8" s="70"/>
      <c r="G8" s="70"/>
      <c r="H8" s="70"/>
      <c r="I8" s="70"/>
      <c r="J8" s="70"/>
      <c r="K8" s="71"/>
    </row>
    <row r="9" spans="1:11" x14ac:dyDescent="0.25">
      <c r="A9" s="13"/>
      <c r="B9" s="69" t="s">
        <v>67</v>
      </c>
      <c r="C9" s="70" t="s">
        <v>55</v>
      </c>
      <c r="D9" s="70"/>
      <c r="E9" s="70"/>
      <c r="F9" s="70"/>
      <c r="G9" s="70"/>
      <c r="H9" s="70"/>
      <c r="I9" s="70"/>
      <c r="J9" s="70"/>
      <c r="K9" s="71"/>
    </row>
    <row r="10" spans="1:11" ht="15.75" thickBot="1" x14ac:dyDescent="0.3">
      <c r="A10" s="13"/>
      <c r="B10" s="66" t="s">
        <v>65</v>
      </c>
      <c r="C10" s="67" t="s">
        <v>55</v>
      </c>
      <c r="D10" s="67"/>
      <c r="E10" s="67"/>
      <c r="F10" s="67"/>
      <c r="G10" s="67"/>
      <c r="H10" s="67"/>
      <c r="I10" s="67"/>
      <c r="J10" s="67"/>
      <c r="K10" s="68"/>
    </row>
    <row r="11" spans="1:11" ht="15.75" thickBot="1" x14ac:dyDescent="0.3">
      <c r="A11" s="15"/>
    </row>
    <row r="12" spans="1:11" ht="19.5" thickBot="1" x14ac:dyDescent="0.3">
      <c r="A12" s="13"/>
      <c r="B12" s="99" t="s">
        <v>52</v>
      </c>
      <c r="C12" s="100"/>
    </row>
    <row r="13" spans="1:11" x14ac:dyDescent="0.25">
      <c r="A13" s="13"/>
      <c r="B13" s="52" t="s">
        <v>8</v>
      </c>
      <c r="C13" s="76" t="s">
        <v>38</v>
      </c>
      <c r="D13" s="76" t="s">
        <v>39</v>
      </c>
      <c r="E13" s="76" t="s">
        <v>57</v>
      </c>
      <c r="F13" s="77" t="s">
        <v>61</v>
      </c>
      <c r="G13" s="77"/>
      <c r="H13" s="77"/>
      <c r="I13" s="77"/>
      <c r="J13" s="77"/>
      <c r="K13" s="76" t="s">
        <v>62</v>
      </c>
    </row>
    <row r="14" spans="1:11" x14ac:dyDescent="0.25">
      <c r="A14" s="13"/>
      <c r="B14" s="79" t="s">
        <v>40</v>
      </c>
      <c r="C14" s="78">
        <v>45957</v>
      </c>
      <c r="D14" s="78">
        <v>45964</v>
      </c>
      <c r="E14" s="90">
        <f>21/28</f>
        <v>0.75</v>
      </c>
      <c r="F14" s="104" t="s">
        <v>98</v>
      </c>
      <c r="G14" s="105"/>
      <c r="H14" s="105"/>
      <c r="I14" s="105"/>
      <c r="J14" s="106"/>
      <c r="K14" s="91" t="s">
        <v>105</v>
      </c>
    </row>
    <row r="15" spans="1:11" ht="15.75" thickBot="1" x14ac:dyDescent="0.3">
      <c r="A15" s="13"/>
      <c r="B15" s="80" t="s">
        <v>68</v>
      </c>
      <c r="C15" s="81">
        <v>45985</v>
      </c>
      <c r="D15" s="82" t="s">
        <v>64</v>
      </c>
      <c r="E15" s="82" t="s">
        <v>64</v>
      </c>
      <c r="F15" s="107" t="s">
        <v>99</v>
      </c>
      <c r="G15" s="108"/>
      <c r="H15" s="108"/>
      <c r="I15" s="108"/>
      <c r="J15" s="109"/>
      <c r="K15" s="83"/>
    </row>
    <row r="16" spans="1:11" x14ac:dyDescent="0.25">
      <c r="A16" s="13"/>
      <c r="B16" s="75"/>
      <c r="C16" s="75"/>
      <c r="D16" s="75"/>
      <c r="E16" s="75"/>
      <c r="F16" s="75"/>
      <c r="G16" s="75"/>
      <c r="H16" s="75"/>
      <c r="I16" s="75"/>
      <c r="J16" s="75"/>
      <c r="K16" s="75"/>
    </row>
    <row r="17" spans="1:11" ht="15.75" thickBot="1" x14ac:dyDescent="0.3">
      <c r="A17" s="13"/>
    </row>
    <row r="18" spans="1:11" ht="19.5" thickBot="1" x14ac:dyDescent="0.3">
      <c r="B18" s="101" t="s">
        <v>56</v>
      </c>
      <c r="C18" s="102"/>
      <c r="D18" s="103"/>
    </row>
    <row r="19" spans="1:11" ht="15.75" thickBot="1" x14ac:dyDescent="0.3">
      <c r="B19" s="86" t="s">
        <v>100</v>
      </c>
      <c r="C19" s="87"/>
      <c r="D19" s="87"/>
      <c r="E19" s="87"/>
      <c r="F19" s="87"/>
      <c r="G19" s="87"/>
      <c r="H19" s="87"/>
      <c r="I19" s="87"/>
      <c r="J19" s="87"/>
      <c r="K19" s="88"/>
    </row>
  </sheetData>
  <mergeCells count="5">
    <mergeCell ref="B12:C12"/>
    <mergeCell ref="B4:C4"/>
    <mergeCell ref="B18:D18"/>
    <mergeCell ref="F14:J14"/>
    <mergeCell ref="F15:J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pageSetUpPr fitToPage="1"/>
  </sheetPr>
  <dimension ref="A1:H32"/>
  <sheetViews>
    <sheetView zoomScale="85" zoomScaleNormal="85" workbookViewId="0">
      <selection activeCell="H8" sqref="H8"/>
    </sheetView>
  </sheetViews>
  <sheetFormatPr baseColWidth="10" defaultColWidth="11.42578125" defaultRowHeight="15" x14ac:dyDescent="0.25"/>
  <cols>
    <col min="1" max="1" width="11.85546875" style="1" bestFit="1" customWidth="1"/>
    <col min="2" max="2" width="100.5703125" style="1" customWidth="1"/>
    <col min="3" max="3" width="10.85546875" style="2" bestFit="1" customWidth="1"/>
    <col min="4" max="5" width="11.42578125" style="2" customWidth="1"/>
    <col min="6" max="6" width="14.42578125" style="2" customWidth="1"/>
    <col min="7" max="7" width="12.7109375" style="1" customWidth="1"/>
    <col min="8" max="8" width="164" style="1" bestFit="1" customWidth="1"/>
    <col min="9" max="16384" width="11.42578125" style="1"/>
  </cols>
  <sheetData>
    <row r="1" spans="1:8" s="6" customFormat="1" ht="37.5" x14ac:dyDescent="0.25">
      <c r="A1" s="5" t="s">
        <v>0</v>
      </c>
      <c r="B1" s="5" t="s">
        <v>1</v>
      </c>
      <c r="C1" s="5" t="s">
        <v>26</v>
      </c>
      <c r="D1" s="5" t="s">
        <v>8</v>
      </c>
      <c r="E1" s="5" t="s">
        <v>2</v>
      </c>
      <c r="F1" s="5" t="s">
        <v>42</v>
      </c>
      <c r="G1" s="9" t="s">
        <v>27</v>
      </c>
      <c r="H1" s="10" t="s">
        <v>3</v>
      </c>
    </row>
    <row r="2" spans="1:8" s="22" customFormat="1" ht="18.75" x14ac:dyDescent="0.25">
      <c r="A2" s="20"/>
      <c r="B2" s="20"/>
      <c r="C2" s="20">
        <f>ROUND(AVERAGE(C3:C6), 0)</f>
        <v>85</v>
      </c>
      <c r="D2" s="20">
        <f>1</f>
        <v>1</v>
      </c>
      <c r="E2" s="20">
        <f>SUM(E3:E6)</f>
        <v>23</v>
      </c>
      <c r="F2" s="20">
        <f>SUM(F3:F6)</f>
        <v>36</v>
      </c>
      <c r="G2" s="96">
        <f>COUNTIF(G3:G6,"finished")/COUNTIF(G3:G6,"&lt;&gt;"&amp;"")</f>
        <v>0.25</v>
      </c>
      <c r="H2" s="21"/>
    </row>
    <row r="3" spans="1:8" x14ac:dyDescent="0.25">
      <c r="A3" s="92" t="s">
        <v>4</v>
      </c>
      <c r="B3" s="7" t="s">
        <v>106</v>
      </c>
      <c r="C3" s="8">
        <v>100</v>
      </c>
      <c r="D3" s="8">
        <v>1</v>
      </c>
      <c r="E3" s="8">
        <f>'Pila-Sprint1'!C3</f>
        <v>10</v>
      </c>
      <c r="F3" s="8">
        <f>SUM('Diario-Realizado-Sprint1'!D10:D12)</f>
        <v>12</v>
      </c>
      <c r="G3" s="2" t="s">
        <v>107</v>
      </c>
      <c r="H3" s="3" t="s">
        <v>111</v>
      </c>
    </row>
    <row r="4" spans="1:8" x14ac:dyDescent="0.25">
      <c r="A4" s="92" t="s">
        <v>5</v>
      </c>
      <c r="B4" s="7" t="s">
        <v>69</v>
      </c>
      <c r="C4" s="8">
        <v>90</v>
      </c>
      <c r="D4" s="8">
        <v>1</v>
      </c>
      <c r="E4" s="8">
        <f>'Pila-Sprint1'!C7</f>
        <v>6</v>
      </c>
      <c r="F4" s="8">
        <f>SUM('Diario-Realizado-Sprint1'!D13:D14)</f>
        <v>12</v>
      </c>
      <c r="G4" s="94" t="s">
        <v>108</v>
      </c>
      <c r="H4" s="7" t="s">
        <v>109</v>
      </c>
    </row>
    <row r="5" spans="1:8" x14ac:dyDescent="0.25">
      <c r="A5" s="92" t="s">
        <v>6</v>
      </c>
      <c r="B5" s="7" t="s">
        <v>70</v>
      </c>
      <c r="C5" s="8">
        <v>80</v>
      </c>
      <c r="D5" s="8">
        <v>1</v>
      </c>
      <c r="E5" s="8">
        <f>'Pila-Sprint1'!C10</f>
        <v>5</v>
      </c>
      <c r="F5" s="8">
        <f>SUM('Diario-Realizado-Sprint1'!D15:D17)</f>
        <v>8</v>
      </c>
      <c r="G5" s="95" t="s">
        <v>108</v>
      </c>
      <c r="H5" s="7" t="s">
        <v>109</v>
      </c>
    </row>
    <row r="6" spans="1:8" x14ac:dyDescent="0.25">
      <c r="A6" s="92" t="s">
        <v>7</v>
      </c>
      <c r="B6" s="7" t="s">
        <v>72</v>
      </c>
      <c r="C6" s="8">
        <v>70</v>
      </c>
      <c r="D6" s="8">
        <v>1</v>
      </c>
      <c r="E6" s="8">
        <f>'Pila-Sprint1'!C6</f>
        <v>2</v>
      </c>
      <c r="F6" s="8">
        <f>SUM('Diario-Realizado-Sprint1'!D18)</f>
        <v>4</v>
      </c>
      <c r="G6" s="95" t="s">
        <v>108</v>
      </c>
      <c r="H6" s="7"/>
    </row>
    <row r="7" spans="1:8" ht="18.75" x14ac:dyDescent="0.3">
      <c r="A7" s="84"/>
      <c r="B7" s="84"/>
      <c r="C7" s="85">
        <f>ROUND(AVERAGE(C8:C14), 0)</f>
        <v>57</v>
      </c>
      <c r="D7" s="85">
        <v>2</v>
      </c>
      <c r="E7" s="85">
        <f>SUM(E8:E14)</f>
        <v>37</v>
      </c>
      <c r="F7" s="85">
        <f>SUM(F8:F14)</f>
        <v>0</v>
      </c>
      <c r="G7" s="97">
        <f>COUNTIF(G8:G14,"finished")/COUNTIF(G8:G14,"&lt;&gt;"&amp;"")</f>
        <v>0</v>
      </c>
      <c r="H7" s="84"/>
    </row>
    <row r="8" spans="1:8" x14ac:dyDescent="0.25">
      <c r="A8" s="92" t="s">
        <v>5</v>
      </c>
      <c r="B8" s="7" t="s">
        <v>69</v>
      </c>
      <c r="C8" s="8">
        <v>90</v>
      </c>
      <c r="D8" s="8">
        <v>1</v>
      </c>
      <c r="E8" s="8">
        <v>6</v>
      </c>
      <c r="F8" s="8"/>
      <c r="G8" s="94" t="s">
        <v>108</v>
      </c>
      <c r="H8" s="7"/>
    </row>
    <row r="9" spans="1:8" x14ac:dyDescent="0.25">
      <c r="A9" s="92" t="s">
        <v>6</v>
      </c>
      <c r="B9" s="7" t="s">
        <v>70</v>
      </c>
      <c r="C9" s="8">
        <v>80</v>
      </c>
      <c r="D9" s="8">
        <v>1</v>
      </c>
      <c r="E9" s="8">
        <v>5</v>
      </c>
      <c r="F9" s="8"/>
      <c r="G9" s="95" t="s">
        <v>108</v>
      </c>
      <c r="H9" s="7"/>
    </row>
    <row r="10" spans="1:8" x14ac:dyDescent="0.25">
      <c r="A10" s="92" t="s">
        <v>10</v>
      </c>
      <c r="B10" s="7" t="s">
        <v>76</v>
      </c>
      <c r="C10" s="8">
        <v>80</v>
      </c>
      <c r="D10" s="8">
        <v>2</v>
      </c>
      <c r="E10" s="8">
        <v>6</v>
      </c>
      <c r="F10" s="8"/>
      <c r="G10" s="95" t="s">
        <v>108</v>
      </c>
      <c r="H10" s="7"/>
    </row>
    <row r="11" spans="1:8" x14ac:dyDescent="0.25">
      <c r="A11" s="92" t="s">
        <v>9</v>
      </c>
      <c r="B11" s="7" t="s">
        <v>71</v>
      </c>
      <c r="C11" s="8">
        <v>60</v>
      </c>
      <c r="D11" s="8">
        <v>2</v>
      </c>
      <c r="E11" s="8">
        <v>4</v>
      </c>
      <c r="F11" s="74"/>
      <c r="G11" s="95" t="s">
        <v>108</v>
      </c>
      <c r="H11" s="73"/>
    </row>
    <row r="12" spans="1:8" x14ac:dyDescent="0.25">
      <c r="A12" s="92" t="s">
        <v>11</v>
      </c>
      <c r="B12" s="7" t="s">
        <v>74</v>
      </c>
      <c r="C12" s="8">
        <v>40</v>
      </c>
      <c r="D12" s="8">
        <v>2</v>
      </c>
      <c r="E12" s="8">
        <v>4</v>
      </c>
      <c r="F12" s="8"/>
      <c r="G12" s="95" t="s">
        <v>108</v>
      </c>
      <c r="H12" s="7"/>
    </row>
    <row r="13" spans="1:8" ht="15" customHeight="1" x14ac:dyDescent="0.25">
      <c r="A13" s="92" t="s">
        <v>28</v>
      </c>
      <c r="B13" s="7" t="s">
        <v>75</v>
      </c>
      <c r="C13" s="8">
        <v>30</v>
      </c>
      <c r="D13" s="8">
        <v>2</v>
      </c>
      <c r="E13" s="8">
        <v>10</v>
      </c>
      <c r="F13" s="8"/>
      <c r="G13" s="95" t="s">
        <v>108</v>
      </c>
      <c r="H13" s="7"/>
    </row>
    <row r="14" spans="1:8" x14ac:dyDescent="0.25">
      <c r="A14" s="93" t="s">
        <v>30</v>
      </c>
      <c r="B14" s="73" t="s">
        <v>73</v>
      </c>
      <c r="C14" s="74">
        <v>20</v>
      </c>
      <c r="D14" s="74">
        <v>2</v>
      </c>
      <c r="E14" s="74">
        <v>2</v>
      </c>
      <c r="F14" s="74"/>
      <c r="G14" s="74" t="s">
        <v>108</v>
      </c>
      <c r="H14" s="73"/>
    </row>
    <row r="22" spans="1:3" x14ac:dyDescent="0.25">
      <c r="A22" s="16"/>
    </row>
    <row r="23" spans="1:3" x14ac:dyDescent="0.25">
      <c r="A23" s="17"/>
    </row>
    <row r="24" spans="1:3" x14ac:dyDescent="0.25">
      <c r="A24" s="17"/>
    </row>
    <row r="25" spans="1:3" x14ac:dyDescent="0.25">
      <c r="A25" s="17"/>
    </row>
    <row r="27" spans="1:3" x14ac:dyDescent="0.25">
      <c r="A27" s="18"/>
    </row>
    <row r="28" spans="1:3" x14ac:dyDescent="0.25">
      <c r="A28" s="18"/>
      <c r="C28" s="4"/>
    </row>
    <row r="31" spans="1:3" x14ac:dyDescent="0.25">
      <c r="B31" s="19"/>
    </row>
    <row r="32" spans="1:3" x14ac:dyDescent="0.25">
      <c r="B32" s="19"/>
    </row>
  </sheetData>
  <autoFilter ref="A1:D18" xr:uid="{00000000-0009-0000-0000-000001000000}">
    <sortState xmlns:xlrd2="http://schemas.microsoft.com/office/spreadsheetml/2017/richdata2" ref="A2:I63">
      <sortCondition descending="1" ref="B1:B58"/>
    </sortState>
  </autoFilter>
  <sortState xmlns:xlrd2="http://schemas.microsoft.com/office/spreadsheetml/2017/richdata2" ref="A1:ID63">
    <sortCondition descending="1" ref="C1:C63"/>
  </sortState>
  <pageMargins left="0.70866141732283472" right="0.70866141732283472" top="0.74803149606299213" bottom="0.74803149606299213" header="0.31496062992125984" footer="0.31496062992125984"/>
  <pageSetup paperSize="9" scale="62" fitToHeight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E33"/>
  <sheetViews>
    <sheetView zoomScale="85" zoomScaleNormal="85" workbookViewId="0">
      <selection activeCell="B33" sqref="B33"/>
    </sheetView>
  </sheetViews>
  <sheetFormatPr baseColWidth="10" defaultColWidth="11.42578125" defaultRowHeight="15" x14ac:dyDescent="0.25"/>
  <cols>
    <col min="1" max="1" width="12.28515625" style="1" customWidth="1"/>
    <col min="2" max="2" width="100.7109375" style="1" customWidth="1"/>
    <col min="3" max="3" width="14.42578125" style="2" bestFit="1" customWidth="1"/>
    <col min="4" max="4" width="50.7109375" style="1" customWidth="1"/>
    <col min="5" max="5" width="131.140625" style="1" customWidth="1"/>
    <col min="6" max="16384" width="11.42578125" style="1"/>
  </cols>
  <sheetData>
    <row r="1" spans="1:5" s="23" customFormat="1" ht="21.75" customHeight="1" x14ac:dyDescent="0.25">
      <c r="A1" s="24" t="s">
        <v>0</v>
      </c>
      <c r="B1" s="24" t="s">
        <v>1</v>
      </c>
      <c r="C1" s="24" t="s">
        <v>2</v>
      </c>
      <c r="D1" s="25" t="s">
        <v>3</v>
      </c>
      <c r="E1" s="39"/>
    </row>
    <row r="2" spans="1:5" s="23" customFormat="1" ht="18.75" x14ac:dyDescent="0.25">
      <c r="A2" s="26"/>
      <c r="B2" s="26"/>
      <c r="C2" s="26">
        <f>SUM(C3,C7,C10,C14)</f>
        <v>23</v>
      </c>
      <c r="D2" s="27"/>
      <c r="E2" s="39"/>
    </row>
    <row r="3" spans="1:5" x14ac:dyDescent="0.25">
      <c r="A3" s="11" t="s">
        <v>4</v>
      </c>
      <c r="B3" s="11" t="s">
        <v>101</v>
      </c>
      <c r="C3" s="12">
        <f>SUM(C4:C6)</f>
        <v>10</v>
      </c>
      <c r="D3" s="11"/>
    </row>
    <row r="4" spans="1:5" x14ac:dyDescent="0.25">
      <c r="A4" s="1" t="s">
        <v>12</v>
      </c>
      <c r="B4" s="1" t="s">
        <v>103</v>
      </c>
      <c r="C4" s="2">
        <v>4</v>
      </c>
    </row>
    <row r="5" spans="1:5" x14ac:dyDescent="0.25">
      <c r="A5" s="1" t="s">
        <v>13</v>
      </c>
      <c r="B5" s="1" t="s">
        <v>102</v>
      </c>
      <c r="C5" s="2">
        <v>4</v>
      </c>
      <c r="D5" s="1" t="s">
        <v>110</v>
      </c>
    </row>
    <row r="6" spans="1:5" x14ac:dyDescent="0.25">
      <c r="A6" s="1" t="s">
        <v>14</v>
      </c>
      <c r="B6" s="1" t="s">
        <v>104</v>
      </c>
      <c r="C6" s="2">
        <v>2</v>
      </c>
      <c r="D6" s="1" t="s">
        <v>112</v>
      </c>
    </row>
    <row r="7" spans="1:5" x14ac:dyDescent="0.25">
      <c r="A7" s="11" t="s">
        <v>5</v>
      </c>
      <c r="B7" s="11" t="s">
        <v>69</v>
      </c>
      <c r="C7" s="12">
        <f>SUM(C8:C9)</f>
        <v>6</v>
      </c>
      <c r="D7" s="11"/>
    </row>
    <row r="8" spans="1:5" ht="15" customHeight="1" x14ac:dyDescent="0.25">
      <c r="A8" s="1" t="s">
        <v>15</v>
      </c>
      <c r="B8" s="1" t="s">
        <v>92</v>
      </c>
      <c r="C8" s="2">
        <v>4</v>
      </c>
    </row>
    <row r="9" spans="1:5" x14ac:dyDescent="0.25">
      <c r="A9" s="1" t="s">
        <v>16</v>
      </c>
      <c r="B9" s="1" t="s">
        <v>77</v>
      </c>
      <c r="C9" s="2">
        <v>2</v>
      </c>
    </row>
    <row r="10" spans="1:5" x14ac:dyDescent="0.25">
      <c r="A10" s="11" t="s">
        <v>6</v>
      </c>
      <c r="B10" s="11" t="s">
        <v>70</v>
      </c>
      <c r="C10" s="12">
        <f>SUM(C11:C13)</f>
        <v>5</v>
      </c>
      <c r="D10" s="11"/>
    </row>
    <row r="11" spans="1:5" x14ac:dyDescent="0.25">
      <c r="A11" s="1" t="s">
        <v>17</v>
      </c>
      <c r="B11" s="1" t="s">
        <v>81</v>
      </c>
      <c r="C11" s="2">
        <v>2</v>
      </c>
    </row>
    <row r="12" spans="1:5" x14ac:dyDescent="0.25">
      <c r="A12" s="1" t="s">
        <v>18</v>
      </c>
      <c r="B12" s="1" t="s">
        <v>78</v>
      </c>
      <c r="C12" s="2">
        <v>1</v>
      </c>
    </row>
    <row r="13" spans="1:5" x14ac:dyDescent="0.25">
      <c r="A13" s="1" t="s">
        <v>79</v>
      </c>
      <c r="B13" s="1" t="s">
        <v>80</v>
      </c>
      <c r="C13" s="2">
        <v>2</v>
      </c>
    </row>
    <row r="14" spans="1:5" x14ac:dyDescent="0.25">
      <c r="A14" s="11" t="s">
        <v>7</v>
      </c>
      <c r="B14" s="11" t="s">
        <v>72</v>
      </c>
      <c r="C14" s="12">
        <f>SUM(C15:C15)</f>
        <v>2</v>
      </c>
      <c r="D14" s="11"/>
    </row>
    <row r="15" spans="1:5" x14ac:dyDescent="0.25">
      <c r="A15" s="1" t="s">
        <v>19</v>
      </c>
      <c r="B15" s="1" t="s">
        <v>82</v>
      </c>
      <c r="C15" s="2">
        <v>2</v>
      </c>
    </row>
    <row r="16" spans="1:5" x14ac:dyDescent="0.25">
      <c r="C16" s="1"/>
    </row>
    <row r="17" spans="3:3" x14ac:dyDescent="0.25">
      <c r="C17" s="1"/>
    </row>
    <row r="18" spans="3:3" x14ac:dyDescent="0.25">
      <c r="C18" s="1"/>
    </row>
    <row r="19" spans="3:3" x14ac:dyDescent="0.25">
      <c r="C19" s="1"/>
    </row>
    <row r="20" spans="3:3" x14ac:dyDescent="0.25">
      <c r="C20" s="1"/>
    </row>
    <row r="21" spans="3:3" x14ac:dyDescent="0.25">
      <c r="C21" s="1"/>
    </row>
    <row r="22" spans="3:3" x14ac:dyDescent="0.25">
      <c r="C22" s="1"/>
    </row>
    <row r="23" spans="3:3" x14ac:dyDescent="0.25">
      <c r="C23" s="1"/>
    </row>
    <row r="24" spans="3:3" x14ac:dyDescent="0.25">
      <c r="C24" s="1"/>
    </row>
    <row r="25" spans="3:3" ht="15" customHeight="1" x14ac:dyDescent="0.25">
      <c r="C25" s="1"/>
    </row>
    <row r="26" spans="3:3" x14ac:dyDescent="0.25">
      <c r="C26" s="1"/>
    </row>
    <row r="27" spans="3:3" x14ac:dyDescent="0.25">
      <c r="C27" s="1"/>
    </row>
    <row r="28" spans="3:3" x14ac:dyDescent="0.25">
      <c r="C28" s="1"/>
    </row>
    <row r="29" spans="3:3" x14ac:dyDescent="0.25">
      <c r="C29" s="1"/>
    </row>
    <row r="30" spans="3:3" x14ac:dyDescent="0.25">
      <c r="C30" s="1"/>
    </row>
    <row r="31" spans="3:3" x14ac:dyDescent="0.25">
      <c r="C31" s="1"/>
    </row>
    <row r="32" spans="3:3" x14ac:dyDescent="0.25">
      <c r="C32" s="1"/>
    </row>
    <row r="33" spans="3:3" x14ac:dyDescent="0.25">
      <c r="C33" s="1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DD16-8C1D-4268-A511-03A8EA90B4AF}">
  <dimension ref="A1:E27"/>
  <sheetViews>
    <sheetView zoomScale="85" zoomScaleNormal="85" workbookViewId="0">
      <selection activeCell="B3" sqref="B3"/>
    </sheetView>
  </sheetViews>
  <sheetFormatPr baseColWidth="10" defaultColWidth="11.42578125" defaultRowHeight="15" x14ac:dyDescent="0.25"/>
  <cols>
    <col min="1" max="1" width="12.28515625" style="1" customWidth="1"/>
    <col min="2" max="2" width="100.7109375" style="1" customWidth="1"/>
    <col min="3" max="3" width="14.42578125" style="2" bestFit="1" customWidth="1"/>
    <col min="4" max="4" width="50.7109375" style="1" customWidth="1"/>
    <col min="5" max="5" width="131.140625" style="1" customWidth="1"/>
    <col min="6" max="16384" width="11.42578125" style="1"/>
  </cols>
  <sheetData>
    <row r="1" spans="1:5" s="23" customFormat="1" ht="21.75" customHeight="1" x14ac:dyDescent="0.25">
      <c r="A1" s="24" t="s">
        <v>0</v>
      </c>
      <c r="B1" s="24" t="s">
        <v>1</v>
      </c>
      <c r="C1" s="24" t="s">
        <v>2</v>
      </c>
      <c r="D1" s="25" t="s">
        <v>3</v>
      </c>
      <c r="E1" s="39"/>
    </row>
    <row r="2" spans="1:5" s="23" customFormat="1" ht="18.75" x14ac:dyDescent="0.25">
      <c r="A2" s="26"/>
      <c r="B2" s="26"/>
      <c r="C2" s="26">
        <f>SUM(C3,C6,C10,C13,C16,C19,C24)</f>
        <v>37</v>
      </c>
      <c r="D2" s="27"/>
      <c r="E2" s="39"/>
    </row>
    <row r="3" spans="1:5" x14ac:dyDescent="0.25">
      <c r="A3" s="11" t="s">
        <v>5</v>
      </c>
      <c r="B3" s="11" t="s">
        <v>69</v>
      </c>
      <c r="C3" s="12">
        <f>SUM(C4:C5)</f>
        <v>6</v>
      </c>
      <c r="D3" s="11"/>
    </row>
    <row r="4" spans="1:5" x14ac:dyDescent="0.25">
      <c r="A4" s="1" t="s">
        <v>15</v>
      </c>
      <c r="B4" s="1" t="s">
        <v>92</v>
      </c>
      <c r="C4" s="2">
        <v>4</v>
      </c>
    </row>
    <row r="5" spans="1:5" x14ac:dyDescent="0.25">
      <c r="A5" s="1" t="s">
        <v>16</v>
      </c>
      <c r="B5" s="1" t="s">
        <v>77</v>
      </c>
      <c r="C5" s="2">
        <v>2</v>
      </c>
    </row>
    <row r="6" spans="1:5" x14ac:dyDescent="0.25">
      <c r="A6" s="11" t="s">
        <v>6</v>
      </c>
      <c r="B6" s="11" t="s">
        <v>70</v>
      </c>
      <c r="C6" s="12">
        <f>SUM(C7:C9)</f>
        <v>5</v>
      </c>
      <c r="D6" s="11"/>
    </row>
    <row r="7" spans="1:5" x14ac:dyDescent="0.25">
      <c r="A7" s="1" t="s">
        <v>17</v>
      </c>
      <c r="B7" s="1" t="s">
        <v>81</v>
      </c>
      <c r="C7" s="2">
        <v>2</v>
      </c>
    </row>
    <row r="8" spans="1:5" ht="15" customHeight="1" x14ac:dyDescent="0.25">
      <c r="A8" s="1" t="s">
        <v>18</v>
      </c>
      <c r="B8" s="1" t="s">
        <v>78</v>
      </c>
      <c r="C8" s="2">
        <v>1</v>
      </c>
    </row>
    <row r="9" spans="1:5" x14ac:dyDescent="0.25">
      <c r="A9" s="1" t="s">
        <v>79</v>
      </c>
      <c r="B9" s="1" t="s">
        <v>80</v>
      </c>
      <c r="C9" s="2">
        <v>2</v>
      </c>
    </row>
    <row r="10" spans="1:5" x14ac:dyDescent="0.25">
      <c r="A10" s="11" t="s">
        <v>10</v>
      </c>
      <c r="B10" s="11" t="s">
        <v>76</v>
      </c>
      <c r="C10" s="12">
        <f>SUM(C11:C12)</f>
        <v>6</v>
      </c>
      <c r="D10" s="11"/>
    </row>
    <row r="11" spans="1:5" x14ac:dyDescent="0.25">
      <c r="A11" s="1" t="s">
        <v>20</v>
      </c>
      <c r="B11" s="1" t="s">
        <v>83</v>
      </c>
      <c r="C11" s="2">
        <v>4</v>
      </c>
    </row>
    <row r="12" spans="1:5" x14ac:dyDescent="0.25">
      <c r="A12" s="1" t="s">
        <v>21</v>
      </c>
      <c r="B12" s="1" t="s">
        <v>84</v>
      </c>
      <c r="C12" s="2">
        <v>2</v>
      </c>
    </row>
    <row r="13" spans="1:5" x14ac:dyDescent="0.25">
      <c r="A13" s="11" t="s">
        <v>9</v>
      </c>
      <c r="B13" s="11" t="s">
        <v>71</v>
      </c>
      <c r="C13" s="12">
        <f>SUM(C14:C15)</f>
        <v>4</v>
      </c>
      <c r="D13" s="11"/>
    </row>
    <row r="14" spans="1:5" x14ac:dyDescent="0.25">
      <c r="A14" s="1" t="s">
        <v>22</v>
      </c>
      <c r="B14" s="1" t="s">
        <v>85</v>
      </c>
      <c r="C14" s="2">
        <v>2</v>
      </c>
    </row>
    <row r="15" spans="1:5" x14ac:dyDescent="0.25">
      <c r="A15" s="1" t="s">
        <v>23</v>
      </c>
      <c r="B15" s="1" t="s">
        <v>86</v>
      </c>
      <c r="C15" s="2">
        <v>2</v>
      </c>
    </row>
    <row r="16" spans="1:5" x14ac:dyDescent="0.25">
      <c r="A16" s="11" t="s">
        <v>11</v>
      </c>
      <c r="B16" s="11" t="s">
        <v>74</v>
      </c>
      <c r="C16" s="12">
        <f>SUM(C17:C18)</f>
        <v>4</v>
      </c>
      <c r="D16" s="11"/>
    </row>
    <row r="17" spans="1:4" x14ac:dyDescent="0.25">
      <c r="A17" s="1" t="s">
        <v>24</v>
      </c>
      <c r="B17" s="1" t="s">
        <v>87</v>
      </c>
      <c r="C17" s="2">
        <v>2</v>
      </c>
    </row>
    <row r="18" spans="1:4" x14ac:dyDescent="0.25">
      <c r="A18" s="1" t="s">
        <v>25</v>
      </c>
      <c r="B18" s="1" t="s">
        <v>88</v>
      </c>
      <c r="C18" s="2">
        <v>2</v>
      </c>
    </row>
    <row r="19" spans="1:4" x14ac:dyDescent="0.25">
      <c r="A19" s="11" t="s">
        <v>28</v>
      </c>
      <c r="B19" s="11" t="s">
        <v>75</v>
      </c>
      <c r="C19" s="12">
        <f>SUM(C20:C23)</f>
        <v>10</v>
      </c>
      <c r="D19" s="11"/>
    </row>
    <row r="20" spans="1:4" x14ac:dyDescent="0.25">
      <c r="A20" s="1" t="s">
        <v>29</v>
      </c>
      <c r="B20" s="1" t="s">
        <v>96</v>
      </c>
      <c r="C20" s="2">
        <v>4</v>
      </c>
    </row>
    <row r="21" spans="1:4" x14ac:dyDescent="0.25">
      <c r="A21" s="1" t="s">
        <v>31</v>
      </c>
      <c r="B21" s="1" t="s">
        <v>93</v>
      </c>
      <c r="C21" s="2">
        <v>2</v>
      </c>
    </row>
    <row r="22" spans="1:4" x14ac:dyDescent="0.25">
      <c r="A22" s="1" t="s">
        <v>32</v>
      </c>
      <c r="B22" s="1" t="s">
        <v>94</v>
      </c>
      <c r="C22" s="2">
        <v>2</v>
      </c>
    </row>
    <row r="23" spans="1:4" x14ac:dyDescent="0.25">
      <c r="A23" s="1" t="s">
        <v>36</v>
      </c>
      <c r="B23" s="1" t="s">
        <v>95</v>
      </c>
      <c r="C23" s="2">
        <v>2</v>
      </c>
    </row>
    <row r="24" spans="1:4" x14ac:dyDescent="0.25">
      <c r="A24" s="11" t="s">
        <v>30</v>
      </c>
      <c r="B24" s="11" t="s">
        <v>73</v>
      </c>
      <c r="C24" s="12">
        <f>SUM(C25:C27)</f>
        <v>2</v>
      </c>
      <c r="D24" s="11"/>
    </row>
    <row r="25" spans="1:4" ht="15" customHeight="1" x14ac:dyDescent="0.25">
      <c r="A25" s="1" t="s">
        <v>33</v>
      </c>
      <c r="B25" s="1" t="s">
        <v>89</v>
      </c>
      <c r="C25" s="2">
        <v>1</v>
      </c>
    </row>
    <row r="26" spans="1:4" x14ac:dyDescent="0.25">
      <c r="A26" s="1" t="s">
        <v>34</v>
      </c>
      <c r="B26" s="1" t="s">
        <v>90</v>
      </c>
      <c r="C26" s="2">
        <v>0.5</v>
      </c>
    </row>
    <row r="27" spans="1:4" x14ac:dyDescent="0.25">
      <c r="A27" s="1" t="s">
        <v>35</v>
      </c>
      <c r="B27" s="1" t="s">
        <v>91</v>
      </c>
      <c r="C27" s="2">
        <v>0.5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Q40"/>
  <sheetViews>
    <sheetView topLeftCell="C1" zoomScale="85" zoomScaleNormal="85" workbookViewId="0">
      <selection activeCell="V7" sqref="V7"/>
    </sheetView>
  </sheetViews>
  <sheetFormatPr baseColWidth="10" defaultColWidth="11.42578125" defaultRowHeight="15" x14ac:dyDescent="0.25"/>
  <cols>
    <col min="1" max="1" width="12.28515625" style="1" customWidth="1"/>
    <col min="2" max="2" width="100.7109375" style="1" customWidth="1"/>
    <col min="3" max="3" width="14.42578125" style="2" bestFit="1" customWidth="1"/>
    <col min="4" max="4" width="14.7109375" style="1" customWidth="1"/>
    <col min="5" max="14" width="5.7109375" style="45" customWidth="1"/>
    <col min="15" max="55" width="5.7109375" style="1" customWidth="1"/>
    <col min="56" max="16384" width="11.42578125" style="1"/>
  </cols>
  <sheetData>
    <row r="2" spans="1:43" x14ac:dyDescent="0.25">
      <c r="A2" s="49"/>
      <c r="B2" s="49"/>
      <c r="C2" s="28"/>
      <c r="D2" s="28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43" ht="34.5" customHeight="1" x14ac:dyDescent="0.25">
      <c r="A3" s="50"/>
      <c r="B3" s="51"/>
      <c r="C3" s="28"/>
      <c r="D3" s="28"/>
      <c r="E3" s="41" t="str">
        <f>IF(E4=0," ",CHOOSE(WEEKDAY(E4,2),"L","M","X","J","V","S","D"))</f>
        <v>X</v>
      </c>
      <c r="F3" s="41" t="str">
        <f>IF(F4=0," ",CHOOSE(WEEKDAY(F4,2),"L","M","X","J","V","S","D"))</f>
        <v>J</v>
      </c>
      <c r="G3" s="41" t="str">
        <f>IF(G4=0," ",CHOOSE(WEEKDAY(G4,2),"L","M","X","J","V","S","D"))</f>
        <v>V</v>
      </c>
      <c r="H3" s="41" t="str">
        <f t="shared" ref="H3:AM3" si="0">IF(H4=0," ",CHOOSE(WEEKDAY(H4,2),"L","M","X","J","V","S","D"))</f>
        <v>S</v>
      </c>
      <c r="I3" s="41" t="str">
        <f t="shared" si="0"/>
        <v>D</v>
      </c>
      <c r="J3" s="41" t="str">
        <f t="shared" si="0"/>
        <v>L</v>
      </c>
      <c r="K3" s="41" t="str">
        <f t="shared" si="0"/>
        <v>M</v>
      </c>
      <c r="L3" s="41" t="str">
        <f t="shared" si="0"/>
        <v>X</v>
      </c>
      <c r="M3" s="41" t="str">
        <f t="shared" si="0"/>
        <v>J</v>
      </c>
      <c r="N3" s="41" t="str">
        <f t="shared" si="0"/>
        <v>V</v>
      </c>
      <c r="O3" s="41" t="str">
        <f t="shared" si="0"/>
        <v>S</v>
      </c>
      <c r="P3" s="41" t="str">
        <f t="shared" si="0"/>
        <v>D</v>
      </c>
      <c r="Q3" s="41" t="str">
        <f t="shared" si="0"/>
        <v>L</v>
      </c>
      <c r="R3" s="41" t="str">
        <f t="shared" si="0"/>
        <v>M</v>
      </c>
      <c r="S3" s="41" t="str">
        <f t="shared" si="0"/>
        <v>X</v>
      </c>
      <c r="T3" s="41" t="str">
        <f t="shared" si="0"/>
        <v>J</v>
      </c>
      <c r="U3" s="41" t="str">
        <f t="shared" si="0"/>
        <v>V</v>
      </c>
      <c r="V3" s="41" t="str">
        <f t="shared" si="0"/>
        <v>S</v>
      </c>
      <c r="W3" s="41" t="str">
        <f t="shared" si="0"/>
        <v>D</v>
      </c>
      <c r="X3" s="41" t="str">
        <f t="shared" si="0"/>
        <v>L</v>
      </c>
      <c r="Y3" s="41" t="str">
        <f t="shared" si="0"/>
        <v>M</v>
      </c>
      <c r="Z3" s="41" t="str">
        <f t="shared" si="0"/>
        <v>X</v>
      </c>
      <c r="AA3" s="41" t="str">
        <f t="shared" si="0"/>
        <v>J</v>
      </c>
      <c r="AB3" s="41" t="str">
        <f t="shared" si="0"/>
        <v>V</v>
      </c>
      <c r="AC3" s="41" t="str">
        <f t="shared" si="0"/>
        <v>S</v>
      </c>
      <c r="AD3" s="41" t="str">
        <f t="shared" si="0"/>
        <v>D</v>
      </c>
      <c r="AE3" s="41" t="str">
        <f t="shared" si="0"/>
        <v>L</v>
      </c>
      <c r="AF3" s="41" t="str">
        <f t="shared" si="0"/>
        <v>M</v>
      </c>
      <c r="AG3" s="41" t="str">
        <f t="shared" si="0"/>
        <v>X</v>
      </c>
      <c r="AH3" s="41" t="str">
        <f t="shared" si="0"/>
        <v>J</v>
      </c>
      <c r="AI3" s="41" t="str">
        <f t="shared" si="0"/>
        <v>V</v>
      </c>
      <c r="AJ3" s="41" t="str">
        <f t="shared" si="0"/>
        <v>S</v>
      </c>
      <c r="AK3" s="41" t="str">
        <f t="shared" si="0"/>
        <v>D</v>
      </c>
      <c r="AL3" s="41" t="str">
        <f t="shared" si="0"/>
        <v>L</v>
      </c>
      <c r="AM3" s="41" t="str">
        <f t="shared" si="0"/>
        <v>M</v>
      </c>
      <c r="AN3" s="41" t="str">
        <f>IF(AN4=0," ",CHOOSE(WEEKDAY(AN4,2),"L","M","X","J","V","S","D"))</f>
        <v>X</v>
      </c>
      <c r="AO3" s="41" t="str">
        <f>IF(AO4=0," ",CHOOSE(WEEKDAY(AO4,2),"L","M","X","J","V","S","D"))</f>
        <v>J</v>
      </c>
      <c r="AP3" s="41" t="str">
        <f>IF(AP4=0," ",CHOOSE(WEEKDAY(AP4,2),"L","M","X","J","V","S","D"))</f>
        <v>V</v>
      </c>
      <c r="AQ3" s="41" t="str">
        <f>IF(AQ4=0," ",CHOOSE(WEEKDAY(AQ4,2),"L","M","X","J","V","S","D"))</f>
        <v>S</v>
      </c>
    </row>
    <row r="4" spans="1:43" ht="35.25" x14ac:dyDescent="0.25">
      <c r="A4" s="31"/>
      <c r="B4" s="31"/>
      <c r="C4" s="31"/>
      <c r="D4" s="31"/>
      <c r="E4" s="32">
        <v>45931</v>
      </c>
      <c r="F4" s="32">
        <v>45932</v>
      </c>
      <c r="G4" s="32">
        <v>45933</v>
      </c>
      <c r="H4" s="32">
        <v>45934</v>
      </c>
      <c r="I4" s="32">
        <v>45935</v>
      </c>
      <c r="J4" s="32">
        <v>45936</v>
      </c>
      <c r="K4" s="32">
        <v>45937</v>
      </c>
      <c r="L4" s="32">
        <v>45938</v>
      </c>
      <c r="M4" s="32">
        <v>45939</v>
      </c>
      <c r="N4" s="32">
        <v>45940</v>
      </c>
      <c r="O4" s="32">
        <v>45941</v>
      </c>
      <c r="P4" s="32">
        <v>45942</v>
      </c>
      <c r="Q4" s="32">
        <v>45943</v>
      </c>
      <c r="R4" s="32">
        <v>45944</v>
      </c>
      <c r="S4" s="32">
        <v>45945</v>
      </c>
      <c r="T4" s="32">
        <v>45946</v>
      </c>
      <c r="U4" s="32">
        <v>45947</v>
      </c>
      <c r="V4" s="32">
        <v>45948</v>
      </c>
      <c r="W4" s="32">
        <v>45949</v>
      </c>
      <c r="X4" s="32">
        <v>45950</v>
      </c>
      <c r="Y4" s="32">
        <v>45951</v>
      </c>
      <c r="Z4" s="32">
        <v>45952</v>
      </c>
      <c r="AA4" s="32">
        <v>45953</v>
      </c>
      <c r="AB4" s="32">
        <v>45954</v>
      </c>
      <c r="AC4" s="32">
        <v>45955</v>
      </c>
      <c r="AD4" s="32">
        <v>45956</v>
      </c>
      <c r="AE4" s="32">
        <v>45957</v>
      </c>
      <c r="AF4" s="32">
        <v>45958</v>
      </c>
      <c r="AG4" s="32">
        <v>45959</v>
      </c>
      <c r="AH4" s="32">
        <v>45960</v>
      </c>
      <c r="AI4" s="32">
        <v>45961</v>
      </c>
      <c r="AJ4" s="32">
        <v>45962</v>
      </c>
      <c r="AK4" s="32">
        <v>45963</v>
      </c>
      <c r="AL4" s="32">
        <v>45964</v>
      </c>
      <c r="AM4" s="32">
        <v>45965</v>
      </c>
      <c r="AN4" s="32">
        <v>45966</v>
      </c>
      <c r="AO4" s="32">
        <v>45967</v>
      </c>
      <c r="AP4" s="32">
        <v>45968</v>
      </c>
      <c r="AQ4" s="32">
        <v>45969</v>
      </c>
    </row>
    <row r="5" spans="1:43" x14ac:dyDescent="0.25">
      <c r="A5" s="31"/>
      <c r="B5" s="31"/>
      <c r="C5" s="31"/>
      <c r="D5" s="31"/>
      <c r="E5" s="42" t="str">
        <f ca="1">IF(AND(D4&lt;TODAY(),TODAY()&lt;(E4+1),E4&lt;&gt;""),"ACTUAL","")</f>
        <v/>
      </c>
      <c r="F5" s="42" t="str">
        <f ca="1">IF(AND(E4&lt;TODAY(),TODAY()&lt;(F4+1),F4&lt;&gt;""),"ACTUAL","")</f>
        <v/>
      </c>
      <c r="G5" s="42" t="str">
        <f ca="1">IF(AND(F4&lt;TODAY(),TODAY()&lt;(G4+1),G4&lt;&gt;""),"ACTUAL","")</f>
        <v/>
      </c>
      <c r="H5" s="42" t="str">
        <f t="shared" ref="H5:K5" ca="1" si="1">IF(AND(G4&lt;TODAY(),TODAY()&lt;(H4+1),H4&lt;&gt;""),"ACTUAL","")</f>
        <v/>
      </c>
      <c r="I5" s="42" t="str">
        <f t="shared" ca="1" si="1"/>
        <v/>
      </c>
      <c r="J5" s="42" t="str">
        <f t="shared" ca="1" si="1"/>
        <v/>
      </c>
      <c r="K5" s="42" t="str">
        <f t="shared" ca="1" si="1"/>
        <v/>
      </c>
      <c r="L5" s="42" t="str">
        <f t="shared" ref="L5:O5" ca="1" si="2">IF(AND(K4&lt;TODAY(),TODAY()&lt;(L4+1),L4&lt;&gt;""),"ACTUAL","")</f>
        <v/>
      </c>
      <c r="M5" s="42" t="str">
        <f t="shared" ca="1" si="2"/>
        <v/>
      </c>
      <c r="N5" s="42" t="str">
        <f t="shared" ca="1" si="2"/>
        <v/>
      </c>
      <c r="O5" s="42" t="str">
        <f t="shared" ca="1" si="2"/>
        <v/>
      </c>
      <c r="P5" s="42" t="str">
        <f t="shared" ref="P5:S5" ca="1" si="3">IF(AND(O4&lt;TODAY(),TODAY()&lt;(P4+1),P4&lt;&gt;""),"ACTUAL","")</f>
        <v/>
      </c>
      <c r="Q5" s="42" t="str">
        <f t="shared" ca="1" si="3"/>
        <v/>
      </c>
      <c r="R5" s="42" t="str">
        <f t="shared" ca="1" si="3"/>
        <v/>
      </c>
      <c r="S5" s="42" t="str">
        <f t="shared" ca="1" si="3"/>
        <v/>
      </c>
      <c r="T5" s="42" t="str">
        <f t="shared" ref="T5:W5" ca="1" si="4">IF(AND(S4&lt;TODAY(),TODAY()&lt;(T4+1),T4&lt;&gt;""),"ACTUAL","")</f>
        <v/>
      </c>
      <c r="U5" s="42" t="str">
        <f t="shared" ca="1" si="4"/>
        <v/>
      </c>
      <c r="V5" s="42" t="str">
        <f t="shared" ca="1" si="4"/>
        <v/>
      </c>
      <c r="W5" s="42" t="str">
        <f t="shared" ca="1" si="4"/>
        <v/>
      </c>
      <c r="X5" s="42" t="str">
        <f t="shared" ref="X5:AA5" ca="1" si="5">IF(AND(W4&lt;TODAY(),TODAY()&lt;(X4+1),X4&lt;&gt;""),"ACTUAL","")</f>
        <v/>
      </c>
      <c r="Y5" s="42" t="str">
        <f t="shared" ca="1" si="5"/>
        <v/>
      </c>
      <c r="Z5" s="42" t="str">
        <f t="shared" ca="1" si="5"/>
        <v/>
      </c>
      <c r="AA5" s="42" t="str">
        <f t="shared" ca="1" si="5"/>
        <v/>
      </c>
      <c r="AB5" s="42" t="str">
        <f t="shared" ref="AB5:AE5" ca="1" si="6">IF(AND(AA4&lt;TODAY(),TODAY()&lt;(AB4+1),AB4&lt;&gt;""),"ACTUAL","")</f>
        <v/>
      </c>
      <c r="AC5" s="42" t="str">
        <f t="shared" ca="1" si="6"/>
        <v/>
      </c>
      <c r="AD5" s="42" t="str">
        <f t="shared" ca="1" si="6"/>
        <v/>
      </c>
      <c r="AE5" s="42" t="str">
        <f t="shared" ca="1" si="6"/>
        <v/>
      </c>
      <c r="AF5" s="42" t="str">
        <f t="shared" ref="AF5:AI5" ca="1" si="7">IF(AND(AE4&lt;TODAY(),TODAY()&lt;(AF4+1),AF4&lt;&gt;""),"ACTUAL","")</f>
        <v/>
      </c>
      <c r="AG5" s="42" t="str">
        <f t="shared" ca="1" si="7"/>
        <v/>
      </c>
      <c r="AH5" s="42" t="str">
        <f t="shared" ca="1" si="7"/>
        <v/>
      </c>
      <c r="AI5" s="42" t="str">
        <f t="shared" ca="1" si="7"/>
        <v/>
      </c>
      <c r="AJ5" s="42" t="str">
        <f t="shared" ref="AJ5:AM5" ca="1" si="8">IF(AND(AI4&lt;TODAY(),TODAY()&lt;(AJ4+1),AJ4&lt;&gt;""),"ACTUAL","")</f>
        <v/>
      </c>
      <c r="AK5" s="42" t="str">
        <f t="shared" ca="1" si="8"/>
        <v/>
      </c>
      <c r="AL5" s="42" t="str">
        <f t="shared" ca="1" si="8"/>
        <v/>
      </c>
      <c r="AM5" s="42" t="str">
        <f t="shared" ca="1" si="8"/>
        <v/>
      </c>
      <c r="AN5" s="42" t="str">
        <f ca="1">IF(AND(AM4&lt;TODAY(),TODAY()&lt;(AN4+1),AN4&lt;&gt;""),"ACTUAL","")</f>
        <v/>
      </c>
      <c r="AO5" s="42" t="str">
        <f ca="1">IF(AND(AN4&lt;TODAY(),TODAY()&lt;(AO4+1),AO4&lt;&gt;""),"ACTUAL","")</f>
        <v/>
      </c>
      <c r="AP5" s="42" t="str">
        <f ca="1">IF(AND(AO4&lt;TODAY(),TODAY()&lt;(AP4+1),AP4&lt;&gt;""),"ACTUAL","")</f>
        <v/>
      </c>
      <c r="AQ5" s="42" t="str">
        <f ca="1">IF(AND(AP4&lt;TODAY(),TODAY()&lt;(AQ4+1),AQ4&lt;&gt;""),"ACTUAL","")</f>
        <v/>
      </c>
    </row>
    <row r="6" spans="1:43" x14ac:dyDescent="0.25">
      <c r="A6" s="110" t="s">
        <v>43</v>
      </c>
      <c r="B6" s="111"/>
      <c r="C6" s="112"/>
      <c r="D6" s="35">
        <f>COUNTIF(D10:D896,"&gt;0")</f>
        <v>9</v>
      </c>
      <c r="E6" s="43">
        <f t="shared" ref="E6:H6" si="9">COUNTIF(E10:E929,"&gt;0")</f>
        <v>9</v>
      </c>
      <c r="F6" s="43">
        <f t="shared" si="9"/>
        <v>9</v>
      </c>
      <c r="G6" s="43">
        <f t="shared" si="9"/>
        <v>9</v>
      </c>
      <c r="H6" s="43">
        <f t="shared" si="9"/>
        <v>9</v>
      </c>
      <c r="I6" s="43">
        <f t="shared" ref="I6:AQ6" si="10">COUNTIF(I10:I929,"&gt;0")</f>
        <v>9</v>
      </c>
      <c r="J6" s="43">
        <f t="shared" si="10"/>
        <v>9</v>
      </c>
      <c r="K6" s="43">
        <f t="shared" si="10"/>
        <v>9</v>
      </c>
      <c r="L6" s="43">
        <f>COUNTIF(L10:L929,"&gt;0")</f>
        <v>9</v>
      </c>
      <c r="M6" s="43">
        <f t="shared" si="10"/>
        <v>9</v>
      </c>
      <c r="N6" s="43">
        <f t="shared" si="10"/>
        <v>9</v>
      </c>
      <c r="O6" s="43">
        <f t="shared" si="10"/>
        <v>9</v>
      </c>
      <c r="P6" s="43">
        <f t="shared" si="10"/>
        <v>9</v>
      </c>
      <c r="Q6" s="43">
        <f t="shared" si="10"/>
        <v>8</v>
      </c>
      <c r="R6" s="43">
        <f t="shared" si="10"/>
        <v>8</v>
      </c>
      <c r="S6" s="43">
        <f t="shared" si="10"/>
        <v>8</v>
      </c>
      <c r="T6" s="43">
        <f t="shared" si="10"/>
        <v>8</v>
      </c>
      <c r="U6" s="43">
        <f t="shared" si="10"/>
        <v>8</v>
      </c>
      <c r="V6" s="43">
        <f t="shared" si="10"/>
        <v>6</v>
      </c>
      <c r="W6" s="43">
        <f t="shared" si="10"/>
        <v>6</v>
      </c>
      <c r="X6" s="43">
        <f t="shared" si="10"/>
        <v>5</v>
      </c>
      <c r="Y6" s="43">
        <f t="shared" si="10"/>
        <v>5</v>
      </c>
      <c r="Z6" s="43">
        <f t="shared" si="10"/>
        <v>5</v>
      </c>
      <c r="AA6" s="43">
        <f t="shared" si="10"/>
        <v>5</v>
      </c>
      <c r="AB6" s="43">
        <f t="shared" si="10"/>
        <v>5</v>
      </c>
      <c r="AC6" s="43">
        <f t="shared" si="10"/>
        <v>4</v>
      </c>
      <c r="AD6" s="43">
        <f t="shared" si="10"/>
        <v>4</v>
      </c>
      <c r="AE6" s="43">
        <f t="shared" si="10"/>
        <v>4</v>
      </c>
      <c r="AF6" s="43">
        <f t="shared" si="10"/>
        <v>4</v>
      </c>
      <c r="AG6" s="43">
        <f t="shared" si="10"/>
        <v>4</v>
      </c>
      <c r="AH6" s="43">
        <f t="shared" si="10"/>
        <v>4</v>
      </c>
      <c r="AI6" s="43">
        <f t="shared" si="10"/>
        <v>3</v>
      </c>
      <c r="AJ6" s="43">
        <f t="shared" si="10"/>
        <v>2</v>
      </c>
      <c r="AK6" s="43">
        <f t="shared" si="10"/>
        <v>2</v>
      </c>
      <c r="AL6" s="43">
        <f t="shared" si="10"/>
        <v>1</v>
      </c>
      <c r="AM6" s="43">
        <f t="shared" si="10"/>
        <v>1</v>
      </c>
      <c r="AN6" s="43">
        <f t="shared" si="10"/>
        <v>1</v>
      </c>
      <c r="AO6" s="43">
        <f t="shared" si="10"/>
        <v>1</v>
      </c>
      <c r="AP6" s="43">
        <f t="shared" si="10"/>
        <v>0</v>
      </c>
      <c r="AQ6" s="43">
        <f>COUNTIF(AQ10:AQ929,"&gt;0")</f>
        <v>0</v>
      </c>
    </row>
    <row r="7" spans="1:43" ht="15.75" x14ac:dyDescent="0.25">
      <c r="A7" s="110" t="s">
        <v>44</v>
      </c>
      <c r="B7" s="111"/>
      <c r="C7" s="112"/>
      <c r="D7" s="37">
        <f>SUM(D9:D929)</f>
        <v>23</v>
      </c>
      <c r="E7" s="44">
        <f>IF(SUM(E10:E39)&gt;=0,SUM(E10:E39),#N/A)</f>
        <v>23</v>
      </c>
      <c r="F7" s="44">
        <f>IF(SUM(F10:F39)&gt;=0,SUM(F10:F39),#N/A)</f>
        <v>23</v>
      </c>
      <c r="G7" s="44">
        <f>IF(SUM(G10:G39)&gt;=0,SUM(G10:G39),#N/A)</f>
        <v>23</v>
      </c>
      <c r="H7" s="44">
        <f>IF(SUM(H10:H39)&gt;=0,SUM(H10:H39),#N/A)</f>
        <v>23</v>
      </c>
      <c r="I7" s="44">
        <f t="shared" ref="I7:AQ7" si="11">IF(SUM(I10:I39)&gt;=0,SUM(I10:I39),#N/A)</f>
        <v>23</v>
      </c>
      <c r="J7" s="44">
        <f t="shared" si="11"/>
        <v>21</v>
      </c>
      <c r="K7" s="44">
        <f t="shared" si="11"/>
        <v>21</v>
      </c>
      <c r="L7" s="44">
        <f>IF(SUM(L10:L39)&gt;=0,SUM(L10:L39),#N/A)</f>
        <v>21</v>
      </c>
      <c r="M7" s="44">
        <f t="shared" si="11"/>
        <v>21</v>
      </c>
      <c r="N7" s="44">
        <f t="shared" si="11"/>
        <v>21</v>
      </c>
      <c r="O7" s="44">
        <f t="shared" si="11"/>
        <v>21</v>
      </c>
      <c r="P7" s="44">
        <f t="shared" si="11"/>
        <v>21</v>
      </c>
      <c r="Q7" s="44">
        <f t="shared" si="11"/>
        <v>19</v>
      </c>
      <c r="R7" s="44">
        <f t="shared" si="11"/>
        <v>19</v>
      </c>
      <c r="S7" s="44">
        <f t="shared" si="11"/>
        <v>19</v>
      </c>
      <c r="T7" s="44">
        <f t="shared" si="11"/>
        <v>19</v>
      </c>
      <c r="U7" s="44">
        <f t="shared" si="11"/>
        <v>17</v>
      </c>
      <c r="V7" s="44">
        <f t="shared" si="11"/>
        <v>11</v>
      </c>
      <c r="W7" s="44">
        <f t="shared" si="11"/>
        <v>11</v>
      </c>
      <c r="X7" s="44">
        <f t="shared" si="11"/>
        <v>13</v>
      </c>
      <c r="Y7" s="44">
        <f t="shared" si="11"/>
        <v>13</v>
      </c>
      <c r="Z7" s="44">
        <f t="shared" si="11"/>
        <v>13</v>
      </c>
      <c r="AA7" s="44">
        <f t="shared" si="11"/>
        <v>13</v>
      </c>
      <c r="AB7" s="44">
        <f t="shared" si="11"/>
        <v>13</v>
      </c>
      <c r="AC7" s="44">
        <f t="shared" si="11"/>
        <v>7</v>
      </c>
      <c r="AD7" s="44">
        <f t="shared" si="11"/>
        <v>7</v>
      </c>
      <c r="AE7" s="44">
        <f t="shared" si="11"/>
        <v>7</v>
      </c>
      <c r="AF7" s="44">
        <f t="shared" si="11"/>
        <v>7</v>
      </c>
      <c r="AG7" s="44">
        <f t="shared" si="11"/>
        <v>7</v>
      </c>
      <c r="AH7" s="44">
        <f t="shared" si="11"/>
        <v>7</v>
      </c>
      <c r="AI7" s="44">
        <f t="shared" si="11"/>
        <v>5</v>
      </c>
      <c r="AJ7" s="44">
        <f t="shared" si="11"/>
        <v>3</v>
      </c>
      <c r="AK7" s="44">
        <f t="shared" si="11"/>
        <v>3</v>
      </c>
      <c r="AL7" s="44">
        <f t="shared" si="11"/>
        <v>2</v>
      </c>
      <c r="AM7" s="44">
        <f t="shared" si="11"/>
        <v>2</v>
      </c>
      <c r="AN7" s="44">
        <f t="shared" si="11"/>
        <v>2</v>
      </c>
      <c r="AO7" s="44">
        <f t="shared" si="11"/>
        <v>2</v>
      </c>
      <c r="AP7" s="44">
        <f t="shared" si="11"/>
        <v>0</v>
      </c>
      <c r="AQ7" s="44">
        <f>IF(SUM(AQ10:AQ39)&gt;=0,SUM(AQ10:AQ39),#N/A)</f>
        <v>0</v>
      </c>
    </row>
    <row r="9" spans="1:43" s="23" customFormat="1" ht="21" customHeight="1" x14ac:dyDescent="0.25">
      <c r="A9" s="115" t="s">
        <v>0</v>
      </c>
      <c r="B9" s="115" t="s">
        <v>1</v>
      </c>
      <c r="C9" s="115" t="s">
        <v>46</v>
      </c>
      <c r="D9" s="115" t="s">
        <v>2</v>
      </c>
      <c r="E9" s="116" t="s">
        <v>45</v>
      </c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  <c r="AD9" s="116"/>
      <c r="AE9" s="116"/>
      <c r="AF9" s="116"/>
      <c r="AG9" s="116"/>
      <c r="AH9" s="116"/>
      <c r="AI9" s="116"/>
      <c r="AJ9" s="116"/>
      <c r="AK9" s="116"/>
      <c r="AL9" s="116"/>
      <c r="AM9" s="116"/>
      <c r="AN9" s="116"/>
      <c r="AO9" s="116"/>
      <c r="AP9" s="116"/>
      <c r="AQ9" s="116"/>
    </row>
    <row r="10" spans="1:43" x14ac:dyDescent="0.25">
      <c r="A10" s="93" t="s">
        <v>113</v>
      </c>
      <c r="B10" s="73" t="s">
        <v>103</v>
      </c>
      <c r="C10" s="73" t="s">
        <v>55</v>
      </c>
      <c r="D10" s="117">
        <f>'Pila-Sprint1'!C4</f>
        <v>4</v>
      </c>
      <c r="E10" s="73">
        <v>4</v>
      </c>
      <c r="F10" s="73">
        <v>4</v>
      </c>
      <c r="G10" s="73">
        <v>4</v>
      </c>
      <c r="H10" s="73">
        <v>4</v>
      </c>
      <c r="I10" s="73">
        <v>4</v>
      </c>
      <c r="J10" s="73">
        <v>2</v>
      </c>
      <c r="K10" s="73">
        <v>2</v>
      </c>
      <c r="L10" s="73">
        <v>2</v>
      </c>
      <c r="M10" s="73">
        <v>2</v>
      </c>
      <c r="N10" s="73">
        <v>2</v>
      </c>
      <c r="O10" s="73">
        <v>2</v>
      </c>
      <c r="P10" s="73">
        <v>2</v>
      </c>
      <c r="Q10" s="73">
        <v>0</v>
      </c>
      <c r="R10" s="73">
        <v>0</v>
      </c>
      <c r="S10" s="73">
        <v>0</v>
      </c>
      <c r="T10" s="73">
        <v>0</v>
      </c>
      <c r="U10" s="73">
        <v>0</v>
      </c>
      <c r="V10" s="73">
        <v>0</v>
      </c>
      <c r="W10" s="73">
        <v>0</v>
      </c>
      <c r="X10" s="73">
        <v>0</v>
      </c>
      <c r="Y10" s="73">
        <v>0</v>
      </c>
      <c r="Z10" s="73">
        <v>0</v>
      </c>
      <c r="AA10" s="73">
        <v>0</v>
      </c>
      <c r="AB10" s="73">
        <v>0</v>
      </c>
      <c r="AC10" s="73">
        <v>0</v>
      </c>
      <c r="AD10" s="73">
        <v>0</v>
      </c>
      <c r="AE10" s="73">
        <v>0</v>
      </c>
      <c r="AF10" s="73">
        <v>0</v>
      </c>
      <c r="AG10" s="73">
        <v>0</v>
      </c>
      <c r="AH10" s="73">
        <v>0</v>
      </c>
      <c r="AI10" s="73">
        <v>0</v>
      </c>
      <c r="AJ10" s="73">
        <v>0</v>
      </c>
      <c r="AK10" s="73">
        <v>0</v>
      </c>
      <c r="AL10" s="73">
        <v>0</v>
      </c>
      <c r="AM10" s="73">
        <v>0</v>
      </c>
      <c r="AN10" s="73">
        <v>0</v>
      </c>
      <c r="AO10" s="73">
        <v>0</v>
      </c>
      <c r="AP10" s="73">
        <v>0</v>
      </c>
      <c r="AQ10" s="73">
        <v>0</v>
      </c>
    </row>
    <row r="11" spans="1:43" x14ac:dyDescent="0.25">
      <c r="A11" s="93" t="s">
        <v>115</v>
      </c>
      <c r="B11" s="73" t="s">
        <v>102</v>
      </c>
      <c r="C11" s="73" t="s">
        <v>65</v>
      </c>
      <c r="D11" s="118">
        <f>'Pila-Sprint1'!C5</f>
        <v>4</v>
      </c>
      <c r="E11" s="73">
        <v>4</v>
      </c>
      <c r="F11" s="73">
        <v>4</v>
      </c>
      <c r="G11" s="73">
        <v>4</v>
      </c>
      <c r="H11" s="73">
        <v>4</v>
      </c>
      <c r="I11" s="73">
        <v>4</v>
      </c>
      <c r="J11" s="73">
        <v>4</v>
      </c>
      <c r="K11" s="73">
        <v>4</v>
      </c>
      <c r="L11" s="73">
        <v>4</v>
      </c>
      <c r="M11" s="73">
        <v>4</v>
      </c>
      <c r="N11" s="73">
        <v>4</v>
      </c>
      <c r="O11" s="73">
        <v>4</v>
      </c>
      <c r="P11" s="73">
        <v>4</v>
      </c>
      <c r="Q11" s="73">
        <v>4</v>
      </c>
      <c r="R11" s="73">
        <v>4</v>
      </c>
      <c r="S11" s="73">
        <v>4</v>
      </c>
      <c r="T11" s="73">
        <v>4</v>
      </c>
      <c r="U11" s="73">
        <v>2</v>
      </c>
      <c r="V11" s="73">
        <v>0</v>
      </c>
      <c r="W11" s="73">
        <v>0</v>
      </c>
      <c r="X11" s="73">
        <v>0</v>
      </c>
      <c r="Y11" s="73">
        <v>0</v>
      </c>
      <c r="Z11" s="73">
        <v>0</v>
      </c>
      <c r="AA11" s="73">
        <v>0</v>
      </c>
      <c r="AB11" s="73">
        <v>0</v>
      </c>
      <c r="AC11" s="73">
        <v>0</v>
      </c>
      <c r="AD11" s="73">
        <v>0</v>
      </c>
      <c r="AE11" s="73">
        <v>0</v>
      </c>
      <c r="AF11" s="73">
        <v>0</v>
      </c>
      <c r="AG11" s="73">
        <v>0</v>
      </c>
      <c r="AH11" s="73">
        <v>0</v>
      </c>
      <c r="AI11" s="73">
        <v>0</v>
      </c>
      <c r="AJ11" s="73">
        <v>0</v>
      </c>
      <c r="AK11" s="73">
        <v>0</v>
      </c>
      <c r="AL11" s="73">
        <v>0</v>
      </c>
      <c r="AM11" s="73">
        <v>0</v>
      </c>
      <c r="AN11" s="73">
        <v>0</v>
      </c>
      <c r="AO11" s="73">
        <v>0</v>
      </c>
      <c r="AP11" s="73">
        <v>0</v>
      </c>
      <c r="AQ11" s="73">
        <v>0</v>
      </c>
    </row>
    <row r="12" spans="1:43" x14ac:dyDescent="0.25">
      <c r="A12" s="93" t="s">
        <v>114</v>
      </c>
      <c r="B12" s="73" t="s">
        <v>104</v>
      </c>
      <c r="C12" s="73" t="s">
        <v>65</v>
      </c>
      <c r="D12" s="118">
        <f>'Pila-Sprint1'!C6</f>
        <v>2</v>
      </c>
      <c r="E12" s="73">
        <v>2</v>
      </c>
      <c r="F12" s="73">
        <v>2</v>
      </c>
      <c r="G12" s="73">
        <v>2</v>
      </c>
      <c r="H12" s="73">
        <v>2</v>
      </c>
      <c r="I12" s="73">
        <v>2</v>
      </c>
      <c r="J12" s="73">
        <v>2</v>
      </c>
      <c r="K12" s="73">
        <v>2</v>
      </c>
      <c r="L12" s="73">
        <v>2</v>
      </c>
      <c r="M12" s="73">
        <v>2</v>
      </c>
      <c r="N12" s="73">
        <v>2</v>
      </c>
      <c r="O12" s="73">
        <v>2</v>
      </c>
      <c r="P12" s="73">
        <v>2</v>
      </c>
      <c r="Q12" s="73">
        <v>2</v>
      </c>
      <c r="R12" s="73">
        <v>2</v>
      </c>
      <c r="S12" s="73">
        <v>2</v>
      </c>
      <c r="T12" s="73">
        <v>2</v>
      </c>
      <c r="U12" s="73">
        <v>2</v>
      </c>
      <c r="V12" s="73">
        <v>2</v>
      </c>
      <c r="W12" s="73">
        <v>2</v>
      </c>
      <c r="X12" s="73">
        <v>0</v>
      </c>
      <c r="Y12" s="73">
        <v>0</v>
      </c>
      <c r="Z12" s="73">
        <v>0</v>
      </c>
      <c r="AA12" s="73">
        <v>0</v>
      </c>
      <c r="AB12" s="73">
        <v>0</v>
      </c>
      <c r="AC12" s="73">
        <v>0</v>
      </c>
      <c r="AD12" s="73">
        <v>0</v>
      </c>
      <c r="AE12" s="73">
        <v>0</v>
      </c>
      <c r="AF12" s="73">
        <v>0</v>
      </c>
      <c r="AG12" s="73">
        <v>0</v>
      </c>
      <c r="AH12" s="73">
        <v>0</v>
      </c>
      <c r="AI12" s="73">
        <v>0</v>
      </c>
      <c r="AJ12" s="73">
        <v>0</v>
      </c>
      <c r="AK12" s="73">
        <v>0</v>
      </c>
      <c r="AL12" s="73">
        <v>0</v>
      </c>
      <c r="AM12" s="73">
        <v>0</v>
      </c>
      <c r="AN12" s="73">
        <v>0</v>
      </c>
      <c r="AO12" s="73">
        <v>0</v>
      </c>
      <c r="AP12" s="73">
        <v>0</v>
      </c>
      <c r="AQ12" s="73">
        <v>0</v>
      </c>
    </row>
    <row r="13" spans="1:43" ht="15" customHeight="1" x14ac:dyDescent="0.25">
      <c r="A13" s="93" t="s">
        <v>15</v>
      </c>
      <c r="B13" s="73" t="s">
        <v>92</v>
      </c>
      <c r="C13" s="73" t="s">
        <v>67</v>
      </c>
      <c r="D13" s="118">
        <f>'Pila-Sprint1'!C8</f>
        <v>4</v>
      </c>
      <c r="E13" s="73">
        <v>4</v>
      </c>
      <c r="F13" s="73">
        <v>4</v>
      </c>
      <c r="G13" s="73">
        <v>4</v>
      </c>
      <c r="H13" s="73">
        <v>4</v>
      </c>
      <c r="I13" s="73">
        <v>4</v>
      </c>
      <c r="J13" s="73">
        <v>4</v>
      </c>
      <c r="K13" s="73">
        <v>4</v>
      </c>
      <c r="L13" s="73">
        <v>4</v>
      </c>
      <c r="M13" s="73">
        <v>4</v>
      </c>
      <c r="N13" s="73">
        <v>4</v>
      </c>
      <c r="O13" s="73">
        <v>4</v>
      </c>
      <c r="P13" s="73">
        <v>4</v>
      </c>
      <c r="Q13" s="73">
        <v>4</v>
      </c>
      <c r="R13" s="73">
        <v>4</v>
      </c>
      <c r="S13" s="73">
        <v>4</v>
      </c>
      <c r="T13" s="73">
        <v>4</v>
      </c>
      <c r="U13" s="73">
        <v>4</v>
      </c>
      <c r="V13" s="73">
        <v>0</v>
      </c>
      <c r="W13" s="73">
        <v>0</v>
      </c>
      <c r="X13" s="73">
        <v>0</v>
      </c>
      <c r="Y13" s="73">
        <v>0</v>
      </c>
      <c r="Z13" s="73">
        <v>0</v>
      </c>
      <c r="AA13" s="73">
        <v>0</v>
      </c>
      <c r="AB13" s="73">
        <v>0</v>
      </c>
      <c r="AC13" s="73">
        <v>0</v>
      </c>
      <c r="AD13" s="73">
        <v>0</v>
      </c>
      <c r="AE13" s="73">
        <v>0</v>
      </c>
      <c r="AF13" s="73">
        <v>0</v>
      </c>
      <c r="AG13" s="73">
        <v>0</v>
      </c>
      <c r="AH13" s="73">
        <v>0</v>
      </c>
      <c r="AI13" s="73">
        <v>0</v>
      </c>
      <c r="AJ13" s="73">
        <v>0</v>
      </c>
      <c r="AK13" s="73">
        <v>0</v>
      </c>
      <c r="AL13" s="73">
        <v>0</v>
      </c>
      <c r="AM13" s="73">
        <v>0</v>
      </c>
      <c r="AN13" s="73">
        <v>0</v>
      </c>
      <c r="AO13" s="73">
        <v>0</v>
      </c>
      <c r="AP13" s="73">
        <v>0</v>
      </c>
      <c r="AQ13" s="73">
        <v>0</v>
      </c>
    </row>
    <row r="14" spans="1:43" x14ac:dyDescent="0.25">
      <c r="A14" s="93" t="s">
        <v>16</v>
      </c>
      <c r="B14" s="73" t="s">
        <v>77</v>
      </c>
      <c r="C14" s="73" t="s">
        <v>67</v>
      </c>
      <c r="D14" s="118">
        <f>'Pila-Sprint1'!C9</f>
        <v>2</v>
      </c>
      <c r="E14" s="73">
        <v>2</v>
      </c>
      <c r="F14" s="73">
        <v>2</v>
      </c>
      <c r="G14" s="73">
        <v>2</v>
      </c>
      <c r="H14" s="73">
        <v>2</v>
      </c>
      <c r="I14" s="73">
        <v>2</v>
      </c>
      <c r="J14" s="73">
        <v>2</v>
      </c>
      <c r="K14" s="73">
        <v>2</v>
      </c>
      <c r="L14" s="73">
        <v>2</v>
      </c>
      <c r="M14" s="73">
        <v>2</v>
      </c>
      <c r="N14" s="73">
        <v>2</v>
      </c>
      <c r="O14" s="73">
        <v>2</v>
      </c>
      <c r="P14" s="73">
        <v>2</v>
      </c>
      <c r="Q14" s="73">
        <v>2</v>
      </c>
      <c r="R14" s="73">
        <v>2</v>
      </c>
      <c r="S14" s="73">
        <v>2</v>
      </c>
      <c r="T14" s="73">
        <v>2</v>
      </c>
      <c r="U14" s="73">
        <v>2</v>
      </c>
      <c r="V14" s="73">
        <v>2</v>
      </c>
      <c r="W14" s="73">
        <v>2</v>
      </c>
      <c r="X14" s="73">
        <v>4</v>
      </c>
      <c r="Y14" s="73">
        <v>4</v>
      </c>
      <c r="Z14" s="73">
        <v>4</v>
      </c>
      <c r="AA14" s="73">
        <v>4</v>
      </c>
      <c r="AB14" s="73">
        <v>4</v>
      </c>
      <c r="AC14" s="73">
        <v>2</v>
      </c>
      <c r="AD14" s="73">
        <v>2</v>
      </c>
      <c r="AE14" s="73">
        <v>2</v>
      </c>
      <c r="AF14" s="73">
        <v>2</v>
      </c>
      <c r="AG14" s="73">
        <v>2</v>
      </c>
      <c r="AH14" s="73">
        <v>2</v>
      </c>
      <c r="AI14" s="73">
        <v>2</v>
      </c>
      <c r="AJ14" s="73">
        <v>2</v>
      </c>
      <c r="AK14" s="73">
        <v>2</v>
      </c>
      <c r="AL14" s="73">
        <v>2</v>
      </c>
      <c r="AM14" s="73">
        <v>2</v>
      </c>
      <c r="AN14" s="73">
        <v>2</v>
      </c>
      <c r="AO14" s="73">
        <v>2</v>
      </c>
      <c r="AP14" s="73">
        <v>0</v>
      </c>
      <c r="AQ14" s="73">
        <v>0</v>
      </c>
    </row>
    <row r="15" spans="1:43" x14ac:dyDescent="0.25">
      <c r="A15" s="93" t="s">
        <v>17</v>
      </c>
      <c r="B15" s="73" t="s">
        <v>81</v>
      </c>
      <c r="C15" s="73" t="s">
        <v>66</v>
      </c>
      <c r="D15" s="118">
        <f>'Pila-Sprint1'!C11</f>
        <v>2</v>
      </c>
      <c r="E15" s="73">
        <v>2</v>
      </c>
      <c r="F15" s="73">
        <v>2</v>
      </c>
      <c r="G15" s="73">
        <v>2</v>
      </c>
      <c r="H15" s="73">
        <v>2</v>
      </c>
      <c r="I15" s="73">
        <v>2</v>
      </c>
      <c r="J15" s="73">
        <v>2</v>
      </c>
      <c r="K15" s="73">
        <v>2</v>
      </c>
      <c r="L15" s="73">
        <v>2</v>
      </c>
      <c r="M15" s="73">
        <v>2</v>
      </c>
      <c r="N15" s="73">
        <v>2</v>
      </c>
      <c r="O15" s="73">
        <v>2</v>
      </c>
      <c r="P15" s="73">
        <v>2</v>
      </c>
      <c r="Q15" s="73">
        <v>2</v>
      </c>
      <c r="R15" s="73">
        <v>2</v>
      </c>
      <c r="S15" s="73">
        <v>2</v>
      </c>
      <c r="T15" s="73">
        <v>2</v>
      </c>
      <c r="U15" s="73">
        <v>2</v>
      </c>
      <c r="V15" s="73">
        <v>2</v>
      </c>
      <c r="W15" s="73">
        <v>2</v>
      </c>
      <c r="X15" s="73">
        <v>4</v>
      </c>
      <c r="Y15" s="73">
        <v>4</v>
      </c>
      <c r="Z15" s="73">
        <v>4</v>
      </c>
      <c r="AA15" s="73">
        <v>4</v>
      </c>
      <c r="AB15" s="73">
        <v>4</v>
      </c>
      <c r="AC15" s="73">
        <v>2</v>
      </c>
      <c r="AD15" s="73">
        <v>2</v>
      </c>
      <c r="AE15" s="73">
        <v>2</v>
      </c>
      <c r="AF15" s="73">
        <v>2</v>
      </c>
      <c r="AG15" s="73">
        <v>2</v>
      </c>
      <c r="AH15" s="73">
        <v>2</v>
      </c>
      <c r="AI15" s="73">
        <v>0</v>
      </c>
      <c r="AJ15" s="73">
        <v>0</v>
      </c>
      <c r="AK15" s="73">
        <v>0</v>
      </c>
      <c r="AL15" s="73">
        <v>0</v>
      </c>
      <c r="AM15" s="73">
        <v>0</v>
      </c>
      <c r="AN15" s="73">
        <v>0</v>
      </c>
      <c r="AO15" s="73">
        <v>0</v>
      </c>
      <c r="AP15" s="73">
        <v>0</v>
      </c>
      <c r="AQ15" s="73">
        <v>0</v>
      </c>
    </row>
    <row r="16" spans="1:43" x14ac:dyDescent="0.25">
      <c r="A16" s="93" t="s">
        <v>18</v>
      </c>
      <c r="B16" s="73" t="s">
        <v>78</v>
      </c>
      <c r="C16" s="73" t="s">
        <v>66</v>
      </c>
      <c r="D16" s="118">
        <f>'Pila-Sprint1'!C12</f>
        <v>1</v>
      </c>
      <c r="E16" s="73">
        <v>1</v>
      </c>
      <c r="F16" s="73">
        <v>1</v>
      </c>
      <c r="G16" s="73">
        <v>1</v>
      </c>
      <c r="H16" s="73">
        <v>1</v>
      </c>
      <c r="I16" s="73">
        <v>1</v>
      </c>
      <c r="J16" s="73">
        <v>1</v>
      </c>
      <c r="K16" s="73">
        <v>1</v>
      </c>
      <c r="L16" s="73">
        <v>1</v>
      </c>
      <c r="M16" s="73">
        <v>1</v>
      </c>
      <c r="N16" s="73">
        <v>1</v>
      </c>
      <c r="O16" s="73">
        <v>1</v>
      </c>
      <c r="P16" s="73">
        <v>1</v>
      </c>
      <c r="Q16" s="73">
        <v>1</v>
      </c>
      <c r="R16" s="73">
        <v>1</v>
      </c>
      <c r="S16" s="73">
        <v>1</v>
      </c>
      <c r="T16" s="73">
        <v>1</v>
      </c>
      <c r="U16" s="73">
        <v>1</v>
      </c>
      <c r="V16" s="73">
        <v>1</v>
      </c>
      <c r="W16" s="73">
        <v>1</v>
      </c>
      <c r="X16" s="73">
        <v>1</v>
      </c>
      <c r="Y16" s="73">
        <v>1</v>
      </c>
      <c r="Z16" s="73">
        <v>1</v>
      </c>
      <c r="AA16" s="73">
        <v>1</v>
      </c>
      <c r="AB16" s="73">
        <v>1</v>
      </c>
      <c r="AC16" s="73">
        <v>1</v>
      </c>
      <c r="AD16" s="73">
        <v>1</v>
      </c>
      <c r="AE16" s="73">
        <v>1</v>
      </c>
      <c r="AF16" s="73">
        <v>1</v>
      </c>
      <c r="AG16" s="73">
        <v>1</v>
      </c>
      <c r="AH16" s="73">
        <v>1</v>
      </c>
      <c r="AI16" s="73">
        <v>1</v>
      </c>
      <c r="AJ16" s="73">
        <v>0</v>
      </c>
      <c r="AK16" s="73">
        <v>0</v>
      </c>
      <c r="AL16" s="73">
        <v>0</v>
      </c>
      <c r="AM16" s="73">
        <v>0</v>
      </c>
      <c r="AN16" s="73">
        <v>0</v>
      </c>
      <c r="AO16" s="73">
        <v>0</v>
      </c>
      <c r="AP16" s="73">
        <v>0</v>
      </c>
      <c r="AQ16" s="73">
        <v>0</v>
      </c>
    </row>
    <row r="17" spans="1:43" x14ac:dyDescent="0.25">
      <c r="A17" s="93" t="s">
        <v>79</v>
      </c>
      <c r="B17" s="73" t="s">
        <v>80</v>
      </c>
      <c r="C17" s="73" t="s">
        <v>66</v>
      </c>
      <c r="D17" s="118">
        <f>'Pila-Sprint1'!C13</f>
        <v>2</v>
      </c>
      <c r="E17" s="73">
        <v>2</v>
      </c>
      <c r="F17" s="73">
        <v>2</v>
      </c>
      <c r="G17" s="73">
        <v>2</v>
      </c>
      <c r="H17" s="73">
        <v>2</v>
      </c>
      <c r="I17" s="73">
        <v>2</v>
      </c>
      <c r="J17" s="73">
        <v>2</v>
      </c>
      <c r="K17" s="73">
        <v>2</v>
      </c>
      <c r="L17" s="73">
        <v>2</v>
      </c>
      <c r="M17" s="73">
        <v>2</v>
      </c>
      <c r="N17" s="73">
        <v>2</v>
      </c>
      <c r="O17" s="73">
        <v>2</v>
      </c>
      <c r="P17" s="73">
        <v>2</v>
      </c>
      <c r="Q17" s="73">
        <v>2</v>
      </c>
      <c r="R17" s="73">
        <v>2</v>
      </c>
      <c r="S17" s="73">
        <v>2</v>
      </c>
      <c r="T17" s="73">
        <v>2</v>
      </c>
      <c r="U17" s="73">
        <v>2</v>
      </c>
      <c r="V17" s="73">
        <v>2</v>
      </c>
      <c r="W17" s="73">
        <v>2</v>
      </c>
      <c r="X17" s="73">
        <v>2</v>
      </c>
      <c r="Y17" s="73">
        <v>2</v>
      </c>
      <c r="Z17" s="73">
        <v>2</v>
      </c>
      <c r="AA17" s="73">
        <v>2</v>
      </c>
      <c r="AB17" s="73">
        <v>2</v>
      </c>
      <c r="AC17" s="73">
        <v>2</v>
      </c>
      <c r="AD17" s="73">
        <v>2</v>
      </c>
      <c r="AE17" s="73">
        <v>2</v>
      </c>
      <c r="AF17" s="73">
        <v>2</v>
      </c>
      <c r="AG17" s="73">
        <v>2</v>
      </c>
      <c r="AH17" s="73">
        <v>2</v>
      </c>
      <c r="AI17" s="73">
        <v>2</v>
      </c>
      <c r="AJ17" s="73">
        <v>1</v>
      </c>
      <c r="AK17" s="73">
        <v>1</v>
      </c>
      <c r="AL17" s="73">
        <v>0</v>
      </c>
      <c r="AM17" s="73">
        <v>0</v>
      </c>
      <c r="AN17" s="73">
        <v>0</v>
      </c>
      <c r="AO17" s="73">
        <v>0</v>
      </c>
      <c r="AP17" s="73">
        <v>0</v>
      </c>
      <c r="AQ17" s="73">
        <v>0</v>
      </c>
    </row>
    <row r="18" spans="1:43" x14ac:dyDescent="0.25">
      <c r="A18" s="93" t="s">
        <v>19</v>
      </c>
      <c r="B18" s="73" t="s">
        <v>82</v>
      </c>
      <c r="C18" s="73" t="s">
        <v>55</v>
      </c>
      <c r="D18" s="118">
        <f>'Pila-Sprint1'!C15</f>
        <v>2</v>
      </c>
      <c r="E18" s="73">
        <v>2</v>
      </c>
      <c r="F18" s="73">
        <v>2</v>
      </c>
      <c r="G18" s="73">
        <v>2</v>
      </c>
      <c r="H18" s="73">
        <v>2</v>
      </c>
      <c r="I18" s="73">
        <v>2</v>
      </c>
      <c r="J18" s="73">
        <v>2</v>
      </c>
      <c r="K18" s="73">
        <v>2</v>
      </c>
      <c r="L18" s="73">
        <v>2</v>
      </c>
      <c r="M18" s="73">
        <v>2</v>
      </c>
      <c r="N18" s="73">
        <v>2</v>
      </c>
      <c r="O18" s="73">
        <v>2</v>
      </c>
      <c r="P18" s="73">
        <v>2</v>
      </c>
      <c r="Q18" s="73">
        <v>2</v>
      </c>
      <c r="R18" s="73">
        <v>2</v>
      </c>
      <c r="S18" s="73">
        <v>2</v>
      </c>
      <c r="T18" s="73">
        <v>2</v>
      </c>
      <c r="U18" s="73">
        <v>2</v>
      </c>
      <c r="V18" s="73">
        <v>2</v>
      </c>
      <c r="W18" s="73">
        <v>2</v>
      </c>
      <c r="X18" s="73">
        <v>2</v>
      </c>
      <c r="Y18" s="73">
        <v>2</v>
      </c>
      <c r="Z18" s="73">
        <v>2</v>
      </c>
      <c r="AA18" s="73">
        <v>2</v>
      </c>
      <c r="AB18" s="73">
        <v>2</v>
      </c>
      <c r="AC18" s="73">
        <v>0</v>
      </c>
      <c r="AD18" s="73">
        <v>0</v>
      </c>
      <c r="AE18" s="73">
        <v>0</v>
      </c>
      <c r="AF18" s="73">
        <v>0</v>
      </c>
      <c r="AG18" s="73">
        <v>0</v>
      </c>
      <c r="AH18" s="73">
        <v>0</v>
      </c>
      <c r="AI18" s="73">
        <v>0</v>
      </c>
      <c r="AJ18" s="73">
        <v>0</v>
      </c>
      <c r="AK18" s="73">
        <v>0</v>
      </c>
      <c r="AL18" s="73">
        <v>0</v>
      </c>
      <c r="AM18" s="73">
        <v>0</v>
      </c>
      <c r="AN18" s="73">
        <v>0</v>
      </c>
      <c r="AO18" s="73">
        <v>0</v>
      </c>
      <c r="AP18" s="73">
        <v>0</v>
      </c>
      <c r="AQ18" s="73">
        <v>0</v>
      </c>
    </row>
    <row r="19" spans="1:43" x14ac:dyDescent="0.25">
      <c r="C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43" x14ac:dyDescent="0.25">
      <c r="C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43" x14ac:dyDescent="0.25">
      <c r="C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43" x14ac:dyDescent="0.25">
      <c r="C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43" x14ac:dyDescent="0.25">
      <c r="C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43" x14ac:dyDescent="0.25">
      <c r="C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43" x14ac:dyDescent="0.25">
      <c r="C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43" x14ac:dyDescent="0.25">
      <c r="C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43" x14ac:dyDescent="0.25">
      <c r="C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43" x14ac:dyDescent="0.25">
      <c r="C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43" x14ac:dyDescent="0.25">
      <c r="C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43" x14ac:dyDescent="0.25">
      <c r="C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43" x14ac:dyDescent="0.25">
      <c r="C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43" x14ac:dyDescent="0.25"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4:14" x14ac:dyDescent="0.25"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4:14" x14ac:dyDescent="0.25"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4:14" x14ac:dyDescent="0.25"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4:14" x14ac:dyDescent="0.25"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4:14" x14ac:dyDescent="0.25"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4:14" x14ac:dyDescent="0.25"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4:14" x14ac:dyDescent="0.25"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4:14" x14ac:dyDescent="0.25">
      <c r="E40" s="1"/>
      <c r="F40" s="1"/>
      <c r="G40" s="1"/>
      <c r="H40" s="1"/>
      <c r="I40" s="1"/>
      <c r="J40" s="1"/>
      <c r="K40" s="1"/>
      <c r="L40" s="1"/>
      <c r="M40" s="1"/>
      <c r="N40" s="1"/>
    </row>
  </sheetData>
  <mergeCells count="3">
    <mergeCell ref="A6:C6"/>
    <mergeCell ref="A7:C7"/>
    <mergeCell ref="E9:AQ9"/>
  </mergeCells>
  <conditionalFormatting sqref="E3:AQ3">
    <cfRule type="cellIs" dxfId="3" priority="1" stopIfTrue="1" operator="equal">
      <formula>"S"</formula>
    </cfRule>
    <cfRule type="cellIs" dxfId="2" priority="2" stopIfTrue="1" operator="equal">
      <formula>"D"</formula>
    </cfRule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BC54"/>
  <sheetViews>
    <sheetView zoomScale="55" zoomScaleNormal="55" workbookViewId="0">
      <selection activeCell="AQ6" sqref="AQ6"/>
    </sheetView>
  </sheetViews>
  <sheetFormatPr baseColWidth="10" defaultColWidth="11.42578125" defaultRowHeight="15" x14ac:dyDescent="0.25"/>
  <cols>
    <col min="1" max="1" width="12.28515625" style="1" customWidth="1"/>
    <col min="2" max="2" width="100.7109375" style="1" customWidth="1"/>
    <col min="3" max="3" width="14.42578125" style="2" bestFit="1" customWidth="1"/>
    <col min="4" max="4" width="14.7109375" style="1" customWidth="1"/>
    <col min="5" max="55" width="5.7109375" style="1" customWidth="1"/>
    <col min="56" max="57" width="11.42578125" style="1"/>
    <col min="58" max="58" width="5.7109375" style="1" customWidth="1"/>
    <col min="59" max="16384" width="11.42578125" style="1"/>
  </cols>
  <sheetData>
    <row r="2" spans="1:55" x14ac:dyDescent="0.25">
      <c r="A2" s="49"/>
      <c r="B2" s="49"/>
      <c r="C2" s="28"/>
      <c r="D2" s="28"/>
      <c r="E2" s="28"/>
      <c r="F2" s="29"/>
      <c r="G2" s="28"/>
      <c r="H2" s="28"/>
      <c r="I2" s="28"/>
      <c r="J2" s="28"/>
      <c r="K2" s="28"/>
      <c r="L2" s="28"/>
      <c r="M2" s="28"/>
      <c r="N2" s="28"/>
    </row>
    <row r="3" spans="1:55" x14ac:dyDescent="0.25">
      <c r="A3" s="50"/>
      <c r="B3" s="51"/>
      <c r="C3" s="28"/>
      <c r="D3" s="28"/>
      <c r="E3" s="30" t="str">
        <f>IF(E4=0," ",CHOOSE(WEEKDAY(E4,2),"L","M","X","J","V","S","D"))</f>
        <v>X</v>
      </c>
      <c r="F3" s="30" t="str">
        <f>IF(F4=0," ",CHOOSE(WEEKDAY(F4,2),"L","M","X","J","V","S","D"))</f>
        <v>J</v>
      </c>
      <c r="G3" s="30" t="str">
        <f>IF(G4=0," ",CHOOSE(WEEKDAY(G4,2),"L","M","X","J","V","S","D"))</f>
        <v>V</v>
      </c>
      <c r="H3" s="30" t="str">
        <f t="shared" ref="H3:V3" si="0">IF(H4=0," ",CHOOSE(WEEKDAY(H4,2),"L","M","X","J","V","S","D"))</f>
        <v>S</v>
      </c>
      <c r="I3" s="30" t="str">
        <f t="shared" si="0"/>
        <v>D</v>
      </c>
      <c r="J3" s="30" t="str">
        <f t="shared" si="0"/>
        <v>L</v>
      </c>
      <c r="K3" s="30" t="str">
        <f t="shared" si="0"/>
        <v>M</v>
      </c>
      <c r="L3" s="30" t="str">
        <f t="shared" si="0"/>
        <v>X</v>
      </c>
      <c r="M3" s="30" t="str">
        <f t="shared" si="0"/>
        <v>J</v>
      </c>
      <c r="N3" s="30" t="str">
        <f t="shared" si="0"/>
        <v>V</v>
      </c>
      <c r="O3" s="30" t="str">
        <f t="shared" si="0"/>
        <v>S</v>
      </c>
      <c r="P3" s="30" t="str">
        <f t="shared" si="0"/>
        <v>D</v>
      </c>
      <c r="Q3" s="30" t="str">
        <f t="shared" si="0"/>
        <v>L</v>
      </c>
      <c r="R3" s="30" t="str">
        <f t="shared" si="0"/>
        <v>M</v>
      </c>
      <c r="S3" s="30" t="str">
        <f t="shared" si="0"/>
        <v>X</v>
      </c>
      <c r="T3" s="30" t="str">
        <f t="shared" si="0"/>
        <v>J</v>
      </c>
      <c r="U3" s="30" t="str">
        <f t="shared" si="0"/>
        <v>V</v>
      </c>
      <c r="V3" s="30" t="str">
        <f t="shared" si="0"/>
        <v>S</v>
      </c>
      <c r="W3" s="30" t="str">
        <f t="shared" ref="W3" si="1">IF(W4=0," ",CHOOSE(WEEKDAY(W4,2),"L","M","X","J","V","S","D"))</f>
        <v>D</v>
      </c>
      <c r="X3" s="30" t="str">
        <f t="shared" ref="X3" si="2">IF(X4=0," ",CHOOSE(WEEKDAY(X4,2),"L","M","X","J","V","S","D"))</f>
        <v>L</v>
      </c>
      <c r="Y3" s="30" t="str">
        <f t="shared" ref="Y3" si="3">IF(Y4=0," ",CHOOSE(WEEKDAY(Y4,2),"L","M","X","J","V","S","D"))</f>
        <v>M</v>
      </c>
      <c r="Z3" s="30" t="str">
        <f t="shared" ref="Z3" si="4">IF(Z4=0," ",CHOOSE(WEEKDAY(Z4,2),"L","M","X","J","V","S","D"))</f>
        <v>X</v>
      </c>
      <c r="AA3" s="30" t="str">
        <f t="shared" ref="AA3" si="5">IF(AA4=0," ",CHOOSE(WEEKDAY(AA4,2),"L","M","X","J","V","S","D"))</f>
        <v>J</v>
      </c>
      <c r="AB3" s="30" t="str">
        <f t="shared" ref="AB3" si="6">IF(AB4=0," ",CHOOSE(WEEKDAY(AB4,2),"L","M","X","J","V","S","D"))</f>
        <v>V</v>
      </c>
      <c r="AC3" s="30" t="str">
        <f t="shared" ref="AC3" si="7">IF(AC4=0," ",CHOOSE(WEEKDAY(AC4,2),"L","M","X","J","V","S","D"))</f>
        <v>S</v>
      </c>
      <c r="AD3" s="30" t="str">
        <f t="shared" ref="AD3" si="8">IF(AD4=0," ",CHOOSE(WEEKDAY(AD4,2),"L","M","X","J","V","S","D"))</f>
        <v>D</v>
      </c>
      <c r="AE3" s="30" t="str">
        <f t="shared" ref="AE3" si="9">IF(AE4=0," ",CHOOSE(WEEKDAY(AE4,2),"L","M","X","J","V","S","D"))</f>
        <v>L</v>
      </c>
      <c r="AF3" s="30" t="str">
        <f t="shared" ref="AF3" si="10">IF(AF4=0," ",CHOOSE(WEEKDAY(AF4,2),"L","M","X","J","V","S","D"))</f>
        <v>M</v>
      </c>
      <c r="AG3" s="30" t="str">
        <f t="shared" ref="AG3" si="11">IF(AG4=0," ",CHOOSE(WEEKDAY(AG4,2),"L","M","X","J","V","S","D"))</f>
        <v>X</v>
      </c>
      <c r="AH3" s="30" t="str">
        <f t="shared" ref="AH3" si="12">IF(AH4=0," ",CHOOSE(WEEKDAY(AH4,2),"L","M","X","J","V","S","D"))</f>
        <v>J</v>
      </c>
      <c r="AI3" s="30" t="str">
        <f t="shared" ref="AI3" si="13">IF(AI4=0," ",CHOOSE(WEEKDAY(AI4,2),"L","M","X","J","V","S","D"))</f>
        <v>V</v>
      </c>
      <c r="AJ3" s="30" t="str">
        <f t="shared" ref="AJ3" si="14">IF(AJ4=0," ",CHOOSE(WEEKDAY(AJ4,2),"L","M","X","J","V","S","D"))</f>
        <v>S</v>
      </c>
      <c r="AK3" s="30" t="str">
        <f t="shared" ref="AK3" si="15">IF(AK4=0," ",CHOOSE(WEEKDAY(AK4,2),"L","M","X","J","V","S","D"))</f>
        <v>D</v>
      </c>
      <c r="AL3" s="30" t="str">
        <f t="shared" ref="AL3" si="16">IF(AL4=0," ",CHOOSE(WEEKDAY(AL4,2),"L","M","X","J","V","S","D"))</f>
        <v>L</v>
      </c>
      <c r="AM3" s="30" t="str">
        <f t="shared" ref="AM3" si="17">IF(AM4=0," ",CHOOSE(WEEKDAY(AM4,2),"L","M","X","J","V","S","D"))</f>
        <v>M</v>
      </c>
      <c r="AN3" s="30" t="str">
        <f t="shared" ref="AN3" si="18">IF(AN4=0," ",CHOOSE(WEEKDAY(AN4,2),"L","M","X","J","V","S","D"))</f>
        <v>X</v>
      </c>
      <c r="AO3" s="30" t="str">
        <f t="shared" ref="AO3" si="19">IF(AO4=0," ",CHOOSE(WEEKDAY(AO4,2),"L","M","X","J","V","S","D"))</f>
        <v>J</v>
      </c>
      <c r="AP3" s="30" t="str">
        <f t="shared" ref="AP3" si="20">IF(AP4=0," ",CHOOSE(WEEKDAY(AP4,2),"L","M","X","J","V","S","D"))</f>
        <v>V</v>
      </c>
      <c r="AQ3" s="30" t="str">
        <f t="shared" ref="AQ3" si="21">IF(AQ4=0," ",CHOOSE(WEEKDAY(AQ4,2),"L","M","X","J","V","S","D"))</f>
        <v>S</v>
      </c>
    </row>
    <row r="4" spans="1:55" ht="35.25" x14ac:dyDescent="0.25">
      <c r="A4" s="31"/>
      <c r="B4" s="31"/>
      <c r="C4" s="31"/>
      <c r="D4" s="31"/>
      <c r="E4" s="32">
        <v>45931</v>
      </c>
      <c r="F4" s="32">
        <v>45932</v>
      </c>
      <c r="G4" s="32">
        <v>45933</v>
      </c>
      <c r="H4" s="32">
        <v>45934</v>
      </c>
      <c r="I4" s="32">
        <v>45935</v>
      </c>
      <c r="J4" s="32">
        <v>45936</v>
      </c>
      <c r="K4" s="32">
        <v>45937</v>
      </c>
      <c r="L4" s="32">
        <v>45938</v>
      </c>
      <c r="M4" s="32">
        <v>45939</v>
      </c>
      <c r="N4" s="32">
        <v>45940</v>
      </c>
      <c r="O4" s="32">
        <v>45941</v>
      </c>
      <c r="P4" s="32">
        <v>45942</v>
      </c>
      <c r="Q4" s="32">
        <v>45943</v>
      </c>
      <c r="R4" s="32">
        <v>45944</v>
      </c>
      <c r="S4" s="32">
        <v>45945</v>
      </c>
      <c r="T4" s="32">
        <v>45946</v>
      </c>
      <c r="U4" s="32">
        <v>45947</v>
      </c>
      <c r="V4" s="32">
        <v>45948</v>
      </c>
      <c r="W4" s="32">
        <v>45949</v>
      </c>
      <c r="X4" s="32">
        <v>45950</v>
      </c>
      <c r="Y4" s="32">
        <v>45951</v>
      </c>
      <c r="Z4" s="32">
        <v>45952</v>
      </c>
      <c r="AA4" s="32">
        <v>45953</v>
      </c>
      <c r="AB4" s="32">
        <v>45954</v>
      </c>
      <c r="AC4" s="32">
        <v>45955</v>
      </c>
      <c r="AD4" s="32">
        <v>45956</v>
      </c>
      <c r="AE4" s="32">
        <v>45957</v>
      </c>
      <c r="AF4" s="32">
        <v>45958</v>
      </c>
      <c r="AG4" s="32">
        <v>45959</v>
      </c>
      <c r="AH4" s="32">
        <v>45960</v>
      </c>
      <c r="AI4" s="32">
        <v>45961</v>
      </c>
      <c r="AJ4" s="32">
        <v>45962</v>
      </c>
      <c r="AK4" s="32">
        <v>45963</v>
      </c>
      <c r="AL4" s="32">
        <v>45964</v>
      </c>
      <c r="AM4" s="32">
        <v>45965</v>
      </c>
      <c r="AN4" s="32">
        <v>45966</v>
      </c>
      <c r="AO4" s="32">
        <v>45967</v>
      </c>
      <c r="AP4" s="32">
        <v>45968</v>
      </c>
      <c r="AQ4" s="32">
        <v>45969</v>
      </c>
    </row>
    <row r="5" spans="1:55" x14ac:dyDescent="0.25">
      <c r="A5" s="31"/>
      <c r="B5" s="31"/>
      <c r="C5" s="31"/>
      <c r="D5" s="31"/>
      <c r="E5" s="33" t="str">
        <f ca="1">IF(AND(D4&lt;TODAY(),TODAY()&lt;(E4+1),E4&lt;&gt;""),"ACTUAL","")</f>
        <v/>
      </c>
      <c r="F5" s="33" t="str">
        <f ca="1">IF(AND(E4&lt;TODAY(),TODAY()&lt;(F4+1),F4&lt;&gt;""),"ACTUAL","")</f>
        <v/>
      </c>
      <c r="G5" s="33" t="str">
        <f ca="1">IF(AND(F4&lt;TODAY(),TODAY()&lt;(G4+1),G4&lt;&gt;""),"ACTUAL","")</f>
        <v/>
      </c>
      <c r="H5" s="33" t="str">
        <f t="shared" ref="H5:V5" ca="1" si="22">IF(AND(G4&lt;TODAY(),TODAY()&lt;(H4+1),H4&lt;&gt;""),"ACTUAL","")</f>
        <v/>
      </c>
      <c r="I5" s="33" t="str">
        <f t="shared" ca="1" si="22"/>
        <v/>
      </c>
      <c r="J5" s="33" t="str">
        <f t="shared" ca="1" si="22"/>
        <v/>
      </c>
      <c r="K5" s="33" t="str">
        <f t="shared" ca="1" si="22"/>
        <v/>
      </c>
      <c r="L5" s="33" t="str">
        <f t="shared" ca="1" si="22"/>
        <v/>
      </c>
      <c r="M5" s="33" t="str">
        <f t="shared" ca="1" si="22"/>
        <v/>
      </c>
      <c r="N5" s="33" t="str">
        <f t="shared" ca="1" si="22"/>
        <v/>
      </c>
      <c r="O5" s="33" t="str">
        <f t="shared" ca="1" si="22"/>
        <v/>
      </c>
      <c r="P5" s="33" t="str">
        <f t="shared" ca="1" si="22"/>
        <v/>
      </c>
      <c r="Q5" s="33" t="str">
        <f t="shared" ca="1" si="22"/>
        <v/>
      </c>
      <c r="R5" s="33" t="str">
        <f t="shared" ca="1" si="22"/>
        <v/>
      </c>
      <c r="S5" s="33" t="str">
        <f t="shared" ca="1" si="22"/>
        <v/>
      </c>
      <c r="T5" s="33" t="str">
        <f t="shared" ca="1" si="22"/>
        <v/>
      </c>
      <c r="U5" s="33" t="str">
        <f t="shared" ca="1" si="22"/>
        <v/>
      </c>
      <c r="V5" s="33" t="str">
        <f t="shared" ca="1" si="22"/>
        <v/>
      </c>
      <c r="W5" s="33" t="str">
        <f t="shared" ref="W5" ca="1" si="23">IF(AND(V4&lt;TODAY(),TODAY()&lt;(W4+1),W4&lt;&gt;""),"ACTUAL","")</f>
        <v/>
      </c>
      <c r="X5" s="33" t="str">
        <f t="shared" ref="X5" ca="1" si="24">IF(AND(W4&lt;TODAY(),TODAY()&lt;(X4+1),X4&lt;&gt;""),"ACTUAL","")</f>
        <v/>
      </c>
      <c r="Y5" s="33" t="str">
        <f t="shared" ref="Y5" ca="1" si="25">IF(AND(X4&lt;TODAY(),TODAY()&lt;(Y4+1),Y4&lt;&gt;""),"ACTUAL","")</f>
        <v/>
      </c>
      <c r="Z5" s="33" t="str">
        <f t="shared" ref="Z5" ca="1" si="26">IF(AND(Y4&lt;TODAY(),TODAY()&lt;(Z4+1),Z4&lt;&gt;""),"ACTUAL","")</f>
        <v/>
      </c>
      <c r="AA5" s="33" t="str">
        <f t="shared" ref="AA5" ca="1" si="27">IF(AND(Z4&lt;TODAY(),TODAY()&lt;(AA4+1),AA4&lt;&gt;""),"ACTUAL","")</f>
        <v/>
      </c>
      <c r="AB5" s="33" t="str">
        <f t="shared" ref="AB5" ca="1" si="28">IF(AND(AA4&lt;TODAY(),TODAY()&lt;(AB4+1),AB4&lt;&gt;""),"ACTUAL","")</f>
        <v/>
      </c>
      <c r="AC5" s="33" t="str">
        <f t="shared" ref="AC5" ca="1" si="29">IF(AND(AB4&lt;TODAY(),TODAY()&lt;(AC4+1),AC4&lt;&gt;""),"ACTUAL","")</f>
        <v/>
      </c>
      <c r="AD5" s="33" t="str">
        <f t="shared" ref="AD5" ca="1" si="30">IF(AND(AC4&lt;TODAY(),TODAY()&lt;(AD4+1),AD4&lt;&gt;""),"ACTUAL","")</f>
        <v/>
      </c>
      <c r="AE5" s="33" t="str">
        <f t="shared" ref="AE5" ca="1" si="31">IF(AND(AD4&lt;TODAY(),TODAY()&lt;(AE4+1),AE4&lt;&gt;""),"ACTUAL","")</f>
        <v/>
      </c>
      <c r="AF5" s="33" t="str">
        <f t="shared" ref="AF5" ca="1" si="32">IF(AND(AE4&lt;TODAY(),TODAY()&lt;(AF4+1),AF4&lt;&gt;""),"ACTUAL","")</f>
        <v/>
      </c>
      <c r="AG5" s="33" t="str">
        <f t="shared" ref="AG5" ca="1" si="33">IF(AND(AF4&lt;TODAY(),TODAY()&lt;(AG4+1),AG4&lt;&gt;""),"ACTUAL","")</f>
        <v/>
      </c>
      <c r="AH5" s="33" t="str">
        <f t="shared" ref="AH5" ca="1" si="34">IF(AND(AG4&lt;TODAY(),TODAY()&lt;(AH4+1),AH4&lt;&gt;""),"ACTUAL","")</f>
        <v/>
      </c>
      <c r="AI5" s="33" t="str">
        <f t="shared" ref="AI5" ca="1" si="35">IF(AND(AH4&lt;TODAY(),TODAY()&lt;(AI4+1),AI4&lt;&gt;""),"ACTUAL","")</f>
        <v/>
      </c>
      <c r="AJ5" s="33" t="str">
        <f t="shared" ref="AJ5" ca="1" si="36">IF(AND(AI4&lt;TODAY(),TODAY()&lt;(AJ4+1),AJ4&lt;&gt;""),"ACTUAL","")</f>
        <v/>
      </c>
      <c r="AK5" s="33" t="str">
        <f t="shared" ref="AK5" ca="1" si="37">IF(AND(AJ4&lt;TODAY(),TODAY()&lt;(AK4+1),AK4&lt;&gt;""),"ACTUAL","")</f>
        <v/>
      </c>
      <c r="AL5" s="33" t="str">
        <f t="shared" ref="AL5" ca="1" si="38">IF(AND(AK4&lt;TODAY(),TODAY()&lt;(AL4+1),AL4&lt;&gt;""),"ACTUAL","")</f>
        <v/>
      </c>
      <c r="AM5" s="33" t="str">
        <f t="shared" ref="AM5" ca="1" si="39">IF(AND(AL4&lt;TODAY(),TODAY()&lt;(AM4+1),AM4&lt;&gt;""),"ACTUAL","")</f>
        <v/>
      </c>
      <c r="AN5" s="33" t="str">
        <f t="shared" ref="AN5" ca="1" si="40">IF(AND(AM4&lt;TODAY(),TODAY()&lt;(AN4+1),AN4&lt;&gt;""),"ACTUAL","")</f>
        <v/>
      </c>
      <c r="AO5" s="33" t="str">
        <f t="shared" ref="AO5" ca="1" si="41">IF(AND(AN4&lt;TODAY(),TODAY()&lt;(AO4+1),AO4&lt;&gt;""),"ACTUAL","")</f>
        <v/>
      </c>
      <c r="AP5" s="33" t="str">
        <f t="shared" ref="AP5" ca="1" si="42">IF(AND(AO4&lt;TODAY(),TODAY()&lt;(AP4+1),AP4&lt;&gt;""),"ACTUAL","")</f>
        <v/>
      </c>
      <c r="AQ5" s="33" t="str">
        <f t="shared" ref="AQ5" ca="1" si="43">IF(AND(AP4&lt;TODAY(),TODAY()&lt;(AQ4+1),AQ4&lt;&gt;""),"ACTUAL","")</f>
        <v/>
      </c>
    </row>
    <row r="6" spans="1:55" x14ac:dyDescent="0.25">
      <c r="A6" s="110" t="s">
        <v>51</v>
      </c>
      <c r="B6" s="111"/>
      <c r="C6" s="112"/>
      <c r="D6" s="35"/>
      <c r="E6" s="36">
        <f>SUM($E$10:E18)</f>
        <v>0</v>
      </c>
      <c r="F6" s="36">
        <f>SUM($E$7:F7)</f>
        <v>0</v>
      </c>
      <c r="G6" s="36">
        <f>SUM($E$7:G7)</f>
        <v>0</v>
      </c>
      <c r="H6" s="36">
        <f>SUM($E$7:H7)</f>
        <v>0</v>
      </c>
      <c r="I6" s="36">
        <f>SUM($E$7:I7)</f>
        <v>0</v>
      </c>
      <c r="J6" s="36">
        <f>SUM($E$7:J7)</f>
        <v>2</v>
      </c>
      <c r="K6" s="36">
        <f>SUM($E$7:K7)</f>
        <v>2</v>
      </c>
      <c r="L6" s="36">
        <f>SUM($E$7:L7)</f>
        <v>2</v>
      </c>
      <c r="M6" s="36">
        <f>SUM($E$7:M7)</f>
        <v>2</v>
      </c>
      <c r="N6" s="36">
        <f>SUM($E$7:N7)</f>
        <v>2</v>
      </c>
      <c r="O6" s="36">
        <f>SUM($E$7:O7)</f>
        <v>2</v>
      </c>
      <c r="P6" s="36">
        <f>SUM($E$7:P7)</f>
        <v>2</v>
      </c>
      <c r="Q6" s="36">
        <f>SUM($E$7:Q7)</f>
        <v>4</v>
      </c>
      <c r="R6" s="36">
        <f>SUM($E$7:R7)</f>
        <v>4</v>
      </c>
      <c r="S6" s="36">
        <f>SUM($E$7:S7)</f>
        <v>4</v>
      </c>
      <c r="T6" s="36">
        <f>SUM($E$7:T7)</f>
        <v>4</v>
      </c>
      <c r="U6" s="36">
        <f>SUM($E$7:U7)</f>
        <v>8</v>
      </c>
      <c r="V6" s="36">
        <f>SUM($E$7:V7)</f>
        <v>14</v>
      </c>
      <c r="W6" s="36">
        <f>SUM($E$7:W7)</f>
        <v>16</v>
      </c>
      <c r="X6" s="36">
        <f>SUM($E$7:X7)</f>
        <v>20</v>
      </c>
      <c r="Y6" s="36">
        <f>SUM($E$7:Y7)</f>
        <v>20</v>
      </c>
      <c r="Z6" s="36">
        <f>SUM($E$7:Z7)</f>
        <v>20</v>
      </c>
      <c r="AA6" s="36">
        <f>SUM($E$7:AA7)</f>
        <v>20</v>
      </c>
      <c r="AB6" s="36">
        <f>SUM($E$7:AB7)</f>
        <v>20</v>
      </c>
      <c r="AC6" s="36">
        <f>SUM($E$7:AC7)</f>
        <v>26</v>
      </c>
      <c r="AD6" s="36">
        <f>SUM($E$7:AD7)</f>
        <v>26</v>
      </c>
      <c r="AE6" s="36">
        <f>SUM($E$7:AE7)</f>
        <v>27</v>
      </c>
      <c r="AF6" s="36">
        <f>SUM($E$7:AF7)</f>
        <v>27</v>
      </c>
      <c r="AG6" s="36">
        <f>SUM($E$7:AG7)</f>
        <v>27</v>
      </c>
      <c r="AH6" s="36">
        <f>SUM($E$7:AH7)</f>
        <v>27</v>
      </c>
      <c r="AI6" s="36">
        <f>SUM($E$7:AI7)</f>
        <v>29</v>
      </c>
      <c r="AJ6" s="36">
        <f>SUM($E$7:AJ7)</f>
        <v>33</v>
      </c>
      <c r="AK6" s="36">
        <f>SUM($E$7:AK7)</f>
        <v>33</v>
      </c>
      <c r="AL6" s="36">
        <f>SUM($E$7:AL7)</f>
        <v>34</v>
      </c>
      <c r="AM6" s="36">
        <f>SUM($E$7:AM7)</f>
        <v>34</v>
      </c>
      <c r="AN6" s="36">
        <f>SUM($E$7:AN7)</f>
        <v>34</v>
      </c>
      <c r="AO6" s="36">
        <f>SUM($E$7:AO7)</f>
        <v>34</v>
      </c>
      <c r="AP6" s="36">
        <f>SUM($E$7:AP7)</f>
        <v>36</v>
      </c>
      <c r="AQ6" s="36">
        <f>SUM($E$10:AQ16)</f>
        <v>30</v>
      </c>
    </row>
    <row r="7" spans="1:55" ht="15" customHeight="1" x14ac:dyDescent="0.25">
      <c r="A7" s="110" t="s">
        <v>42</v>
      </c>
      <c r="B7" s="111"/>
      <c r="C7" s="112"/>
      <c r="D7" s="37">
        <f>SUM(E7:G7)</f>
        <v>0</v>
      </c>
      <c r="E7" s="38">
        <f>SUM(E10:E18)</f>
        <v>0</v>
      </c>
      <c r="F7" s="38">
        <f>SUM(F10:F18)</f>
        <v>0</v>
      </c>
      <c r="G7" s="38">
        <f>SUM(G10:G18)</f>
        <v>0</v>
      </c>
      <c r="H7" s="38">
        <f>SUM(H10:H18)</f>
        <v>0</v>
      </c>
      <c r="I7" s="38">
        <f>SUM(I10:I18)</f>
        <v>0</v>
      </c>
      <c r="J7" s="38">
        <f>SUM(J10:J18)</f>
        <v>2</v>
      </c>
      <c r="K7" s="38">
        <f>SUM(K10:K18)</f>
        <v>0</v>
      </c>
      <c r="L7" s="38">
        <f>SUM(L10:L18)</f>
        <v>0</v>
      </c>
      <c r="M7" s="38">
        <f>SUM(M10:M18)</f>
        <v>0</v>
      </c>
      <c r="N7" s="38">
        <f>SUM(N10:N18)</f>
        <v>0</v>
      </c>
      <c r="O7" s="38">
        <f>SUM(O10:O18)</f>
        <v>0</v>
      </c>
      <c r="P7" s="38">
        <f>SUM(P10:P18)</f>
        <v>0</v>
      </c>
      <c r="Q7" s="38">
        <f>SUM(Q10:Q18)</f>
        <v>2</v>
      </c>
      <c r="R7" s="38">
        <f>SUM(R10:R18)</f>
        <v>0</v>
      </c>
      <c r="S7" s="38">
        <f>SUM(S10:S18)</f>
        <v>0</v>
      </c>
      <c r="T7" s="38">
        <f>SUM(T10:T18)</f>
        <v>0</v>
      </c>
      <c r="U7" s="38">
        <f>SUM(U10:U18)</f>
        <v>4</v>
      </c>
      <c r="V7" s="38">
        <f>SUM(V10:V18)</f>
        <v>6</v>
      </c>
      <c r="W7" s="38">
        <f>SUM(W10:W18)</f>
        <v>2</v>
      </c>
      <c r="X7" s="38">
        <f>SUM(X10:X18)</f>
        <v>4</v>
      </c>
      <c r="Y7" s="38">
        <f>SUM(Y10:Y18)</f>
        <v>0</v>
      </c>
      <c r="Z7" s="38">
        <f>SUM(Z10:Z18)</f>
        <v>0</v>
      </c>
      <c r="AA7" s="38">
        <f>SUM(AA10:AA18)</f>
        <v>0</v>
      </c>
      <c r="AB7" s="38">
        <f>SUM(AB10:AB18)</f>
        <v>0</v>
      </c>
      <c r="AC7" s="38">
        <f>SUM(AC10:AC18)</f>
        <v>6</v>
      </c>
      <c r="AD7" s="38">
        <f>SUM(AD10:AD18)</f>
        <v>0</v>
      </c>
      <c r="AE7" s="38">
        <f>SUM(AE10:AE18)</f>
        <v>1</v>
      </c>
      <c r="AF7" s="38">
        <f>SUM(AF10:AF18)</f>
        <v>0</v>
      </c>
      <c r="AG7" s="38">
        <f>SUM(AG10:AG18)</f>
        <v>0</v>
      </c>
      <c r="AH7" s="38">
        <f>SUM(AH10:AH18)</f>
        <v>0</v>
      </c>
      <c r="AI7" s="38">
        <f>SUM(AI10:AI18)</f>
        <v>2</v>
      </c>
      <c r="AJ7" s="38">
        <f>SUM(AJ10:AJ18)</f>
        <v>4</v>
      </c>
      <c r="AK7" s="38">
        <f>SUM(AK10:AK18)</f>
        <v>0</v>
      </c>
      <c r="AL7" s="38">
        <f>SUM(AL10:AL18)</f>
        <v>1</v>
      </c>
      <c r="AM7" s="38">
        <f>SUM(AM10:AM18)</f>
        <v>0</v>
      </c>
      <c r="AN7" s="38">
        <f>SUM(AN10:AN18)</f>
        <v>0</v>
      </c>
      <c r="AO7" s="38">
        <f>SUM(AO10:AO18)</f>
        <v>0</v>
      </c>
      <c r="AP7" s="38">
        <f>SUM(AP10:AP18)</f>
        <v>2</v>
      </c>
      <c r="AQ7" s="38">
        <f>SUM(AQ10:AQ18)</f>
        <v>0</v>
      </c>
    </row>
    <row r="9" spans="1:55" s="23" customFormat="1" ht="21" customHeight="1" x14ac:dyDescent="0.25">
      <c r="A9" s="24" t="s">
        <v>0</v>
      </c>
      <c r="B9" s="24" t="s">
        <v>1</v>
      </c>
      <c r="C9" s="24" t="s">
        <v>46</v>
      </c>
      <c r="D9" s="24" t="s">
        <v>42</v>
      </c>
      <c r="E9" s="113" t="s">
        <v>45</v>
      </c>
      <c r="F9" s="114"/>
      <c r="G9" s="114"/>
      <c r="H9" s="114"/>
      <c r="I9" s="114"/>
      <c r="J9" s="114"/>
      <c r="K9" s="114"/>
      <c r="L9" s="114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4"/>
      <c r="Z9" s="114"/>
      <c r="AA9" s="114"/>
      <c r="AB9" s="114"/>
      <c r="AC9" s="114"/>
      <c r="AD9" s="114"/>
      <c r="AE9" s="114"/>
      <c r="AF9" s="114"/>
      <c r="AG9" s="114"/>
      <c r="AH9" s="114"/>
      <c r="AI9" s="114"/>
      <c r="AJ9" s="114"/>
      <c r="AK9" s="114"/>
      <c r="AL9" s="114"/>
      <c r="AM9" s="114"/>
      <c r="AN9" s="114"/>
      <c r="AO9" s="114"/>
      <c r="AP9" s="114"/>
      <c r="AQ9" s="114"/>
      <c r="AR9" s="114"/>
      <c r="AS9" s="114"/>
      <c r="AT9" s="114"/>
      <c r="AU9" s="114"/>
      <c r="AV9" s="114"/>
      <c r="AW9" s="114"/>
      <c r="AX9" s="114"/>
      <c r="AY9" s="114"/>
      <c r="AZ9" s="114"/>
      <c r="BA9" s="114"/>
      <c r="BB9" s="114"/>
      <c r="BC9" s="114"/>
    </row>
    <row r="10" spans="1:55" x14ac:dyDescent="0.25">
      <c r="A10" s="89" t="s">
        <v>113</v>
      </c>
      <c r="B10" s="1" t="s">
        <v>103</v>
      </c>
      <c r="C10" s="1" t="s">
        <v>55</v>
      </c>
      <c r="D10" s="19">
        <f>SUM(E10:BC10)</f>
        <v>4</v>
      </c>
      <c r="E10" s="19"/>
      <c r="F10" s="19"/>
      <c r="G10" s="19"/>
      <c r="H10" s="19"/>
      <c r="I10" s="19"/>
      <c r="J10" s="19">
        <v>2</v>
      </c>
      <c r="K10" s="19"/>
      <c r="L10" s="19"/>
      <c r="M10" s="19"/>
      <c r="N10" s="19"/>
      <c r="O10" s="19"/>
      <c r="P10" s="19"/>
      <c r="Q10" s="19">
        <v>2</v>
      </c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</row>
    <row r="11" spans="1:55" x14ac:dyDescent="0.25">
      <c r="A11" s="89" t="s">
        <v>115</v>
      </c>
      <c r="B11" s="1" t="s">
        <v>102</v>
      </c>
      <c r="C11" s="1" t="s">
        <v>65</v>
      </c>
      <c r="D11" s="19">
        <f>SUM(E11:BC11)</f>
        <v>6</v>
      </c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>
        <v>4</v>
      </c>
      <c r="V11" s="19">
        <v>2</v>
      </c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</row>
    <row r="12" spans="1:55" x14ac:dyDescent="0.25">
      <c r="A12" s="89" t="s">
        <v>114</v>
      </c>
      <c r="B12" s="1" t="s">
        <v>104</v>
      </c>
      <c r="C12" s="1" t="s">
        <v>65</v>
      </c>
      <c r="D12" s="19">
        <f t="shared" ref="D12:D18" si="44">SUM(E12:BC12)</f>
        <v>2</v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>
        <v>2</v>
      </c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</row>
    <row r="13" spans="1:55" ht="15" customHeight="1" x14ac:dyDescent="0.25">
      <c r="A13" s="89" t="s">
        <v>15</v>
      </c>
      <c r="B13" s="1" t="s">
        <v>92</v>
      </c>
      <c r="C13" s="1" t="s">
        <v>67</v>
      </c>
      <c r="D13" s="19">
        <f t="shared" si="44"/>
        <v>4</v>
      </c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>
        <v>4</v>
      </c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</row>
    <row r="14" spans="1:55" x14ac:dyDescent="0.25">
      <c r="A14" s="89" t="s">
        <v>16</v>
      </c>
      <c r="B14" s="1" t="s">
        <v>77</v>
      </c>
      <c r="C14" s="1" t="s">
        <v>67</v>
      </c>
      <c r="D14" s="19">
        <f>SUM(E14:BC14)</f>
        <v>8</v>
      </c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>
        <v>1</v>
      </c>
      <c r="Y14" s="19"/>
      <c r="Z14" s="19"/>
      <c r="AA14" s="19"/>
      <c r="AB14" s="19"/>
      <c r="AC14" s="19">
        <v>2</v>
      </c>
      <c r="AD14" s="19"/>
      <c r="AE14" s="19">
        <v>1</v>
      </c>
      <c r="AF14" s="19"/>
      <c r="AG14" s="19"/>
      <c r="AH14" s="19"/>
      <c r="AI14" s="19"/>
      <c r="AJ14" s="19">
        <v>2</v>
      </c>
      <c r="AK14" s="19"/>
      <c r="AL14" s="19"/>
      <c r="AM14" s="19"/>
      <c r="AN14" s="19"/>
      <c r="AO14" s="19"/>
      <c r="AP14" s="19">
        <v>2</v>
      </c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</row>
    <row r="15" spans="1:55" x14ac:dyDescent="0.25">
      <c r="A15" s="89" t="s">
        <v>17</v>
      </c>
      <c r="B15" s="1" t="s">
        <v>81</v>
      </c>
      <c r="C15" s="1" t="s">
        <v>66</v>
      </c>
      <c r="D15" s="19">
        <f t="shared" si="44"/>
        <v>5</v>
      </c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>
        <v>1</v>
      </c>
      <c r="Y15" s="19"/>
      <c r="Z15" s="19"/>
      <c r="AA15" s="19"/>
      <c r="AB15" s="19"/>
      <c r="AC15" s="19">
        <v>2</v>
      </c>
      <c r="AD15" s="19"/>
      <c r="AE15" s="19"/>
      <c r="AF15" s="19"/>
      <c r="AG15" s="19"/>
      <c r="AH15" s="19"/>
      <c r="AI15" s="19">
        <v>2</v>
      </c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</row>
    <row r="16" spans="1:55" x14ac:dyDescent="0.25">
      <c r="A16" s="89" t="s">
        <v>18</v>
      </c>
      <c r="B16" s="1" t="s">
        <v>78</v>
      </c>
      <c r="C16" s="1" t="s">
        <v>66</v>
      </c>
      <c r="D16" s="19">
        <f t="shared" si="44"/>
        <v>1</v>
      </c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>
        <v>1</v>
      </c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</row>
    <row r="17" spans="1:55" x14ac:dyDescent="0.25">
      <c r="A17" s="89" t="s">
        <v>79</v>
      </c>
      <c r="B17" s="1" t="s">
        <v>80</v>
      </c>
      <c r="C17" s="1" t="s">
        <v>66</v>
      </c>
      <c r="D17" s="19">
        <f t="shared" si="44"/>
        <v>2</v>
      </c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>
        <v>1</v>
      </c>
      <c r="AK17" s="19"/>
      <c r="AL17" s="19">
        <v>1</v>
      </c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</row>
    <row r="18" spans="1:55" x14ac:dyDescent="0.25">
      <c r="A18" s="89" t="s">
        <v>19</v>
      </c>
      <c r="B18" s="1" t="s">
        <v>82</v>
      </c>
      <c r="C18" s="1" t="s">
        <v>55</v>
      </c>
      <c r="D18" s="19">
        <f t="shared" si="44"/>
        <v>4</v>
      </c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>
        <v>2</v>
      </c>
      <c r="X18" s="19"/>
      <c r="Y18" s="19"/>
      <c r="Z18" s="19"/>
      <c r="AA18" s="19"/>
      <c r="AB18" s="19"/>
      <c r="AC18" s="19">
        <v>2</v>
      </c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</row>
    <row r="19" spans="1:55" x14ac:dyDescent="0.25">
      <c r="C19" s="1"/>
    </row>
    <row r="20" spans="1:55" x14ac:dyDescent="0.25">
      <c r="C20" s="1"/>
    </row>
    <row r="21" spans="1:55" x14ac:dyDescent="0.25">
      <c r="C21" s="1"/>
    </row>
    <row r="22" spans="1:55" x14ac:dyDescent="0.25">
      <c r="C22" s="1"/>
    </row>
    <row r="23" spans="1:55" x14ac:dyDescent="0.25">
      <c r="C23" s="1"/>
    </row>
    <row r="24" spans="1:55" x14ac:dyDescent="0.25">
      <c r="C24" s="1"/>
    </row>
    <row r="25" spans="1:55" x14ac:dyDescent="0.25">
      <c r="C25" s="1"/>
    </row>
    <row r="26" spans="1:55" x14ac:dyDescent="0.25">
      <c r="C26" s="1"/>
    </row>
    <row r="27" spans="1:55" x14ac:dyDescent="0.25">
      <c r="C27" s="1"/>
    </row>
    <row r="28" spans="1:55" x14ac:dyDescent="0.25">
      <c r="C28" s="1"/>
    </row>
    <row r="29" spans="1:55" x14ac:dyDescent="0.25">
      <c r="C29" s="1"/>
    </row>
    <row r="30" spans="1:55" x14ac:dyDescent="0.25">
      <c r="C30" s="1"/>
    </row>
    <row r="31" spans="1:55" x14ac:dyDescent="0.25">
      <c r="C31" s="1"/>
    </row>
    <row r="32" spans="1:55" x14ac:dyDescent="0.25">
      <c r="C32" s="1"/>
    </row>
    <row r="33" spans="3:55" x14ac:dyDescent="0.25">
      <c r="C33" s="1"/>
    </row>
    <row r="34" spans="3:55" x14ac:dyDescent="0.25">
      <c r="C34" s="1"/>
    </row>
    <row r="35" spans="3:55" x14ac:dyDescent="0.25">
      <c r="C35" s="1"/>
    </row>
    <row r="36" spans="3:55" x14ac:dyDescent="0.25"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  <c r="BA36" s="19"/>
      <c r="BB36" s="19"/>
      <c r="BC36" s="19"/>
    </row>
    <row r="37" spans="3:55" x14ac:dyDescent="0.25"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  <c r="BA37" s="19"/>
      <c r="BB37" s="19"/>
      <c r="BC37" s="19"/>
    </row>
    <row r="38" spans="3:55" x14ac:dyDescent="0.25"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  <c r="BB38" s="19"/>
      <c r="BC38" s="19"/>
    </row>
    <row r="39" spans="3:55" x14ac:dyDescent="0.25"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</row>
    <row r="40" spans="3:55" x14ac:dyDescent="0.25"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</row>
    <row r="41" spans="3:55" x14ac:dyDescent="0.25"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</row>
    <row r="42" spans="3:55" x14ac:dyDescent="0.25"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19"/>
    </row>
    <row r="43" spans="3:55" x14ac:dyDescent="0.25"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</row>
    <row r="44" spans="3:55" x14ac:dyDescent="0.25"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</row>
    <row r="45" spans="3:55" x14ac:dyDescent="0.25"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</row>
    <row r="46" spans="3:55" x14ac:dyDescent="0.25"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</row>
    <row r="47" spans="3:55" x14ac:dyDescent="0.25"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</row>
    <row r="48" spans="3:55" x14ac:dyDescent="0.25"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</row>
    <row r="49" spans="5:54" x14ac:dyDescent="0.25"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</row>
    <row r="50" spans="5:54" x14ac:dyDescent="0.25"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</row>
    <row r="51" spans="5:54" x14ac:dyDescent="0.25"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</row>
    <row r="52" spans="5:54" x14ac:dyDescent="0.25"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</row>
    <row r="53" spans="5:54" x14ac:dyDescent="0.25"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</row>
    <row r="54" spans="5:54" x14ac:dyDescent="0.25"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</row>
  </sheetData>
  <mergeCells count="3">
    <mergeCell ref="A6:C6"/>
    <mergeCell ref="A7:C7"/>
    <mergeCell ref="E9:BC9"/>
  </mergeCells>
  <conditionalFormatting sqref="E3:AQ3">
    <cfRule type="cellIs" dxfId="1" priority="1" stopIfTrue="1" operator="equal">
      <formula>"S"</formula>
    </cfRule>
    <cfRule type="cellIs" dxfId="0" priority="2" stopIfTrue="1" operator="equal">
      <formula>"D"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O29"/>
  <sheetViews>
    <sheetView zoomScale="55" zoomScaleNormal="55" workbookViewId="0">
      <selection activeCell="P47" sqref="P47"/>
    </sheetView>
  </sheetViews>
  <sheetFormatPr baseColWidth="10" defaultRowHeight="15" outlineLevelRow="1" x14ac:dyDescent="0.25"/>
  <cols>
    <col min="1" max="1" width="28.7109375" customWidth="1"/>
    <col min="2" max="3" width="8.85546875" customWidth="1"/>
    <col min="4" max="4" width="7.140625" customWidth="1"/>
    <col min="5" max="5" width="9.7109375" style="48" customWidth="1"/>
    <col min="6" max="6" width="9.7109375" customWidth="1"/>
    <col min="7" max="7" width="10.42578125" customWidth="1"/>
    <col min="8" max="9" width="11.140625" customWidth="1"/>
    <col min="10" max="11" width="11.85546875" customWidth="1"/>
  </cols>
  <sheetData>
    <row r="2" spans="5:5" x14ac:dyDescent="0.25">
      <c r="E2"/>
    </row>
    <row r="3" spans="5:5" x14ac:dyDescent="0.25">
      <c r="E3"/>
    </row>
    <row r="9" spans="5:5" x14ac:dyDescent="0.25">
      <c r="E9"/>
    </row>
    <row r="12" spans="5:5" x14ac:dyDescent="0.25">
      <c r="E12"/>
    </row>
    <row r="14" spans="5:5" x14ac:dyDescent="0.25">
      <c r="E14"/>
    </row>
    <row r="26" spans="1:41" x14ac:dyDescent="0.25">
      <c r="A26" s="46" t="s">
        <v>47</v>
      </c>
      <c r="B26" s="46"/>
      <c r="C26" s="46"/>
      <c r="E26"/>
    </row>
    <row r="27" spans="1:41" ht="35.25" x14ac:dyDescent="0.25">
      <c r="A27" s="46" t="s">
        <v>48</v>
      </c>
      <c r="B27" s="47">
        <f>'Pila-Sprint1'!C2</f>
        <v>23</v>
      </c>
      <c r="C27" s="32">
        <v>45931</v>
      </c>
      <c r="D27" s="32">
        <v>45932</v>
      </c>
      <c r="E27" s="32">
        <v>45933</v>
      </c>
      <c r="F27" s="32">
        <v>45934</v>
      </c>
      <c r="G27" s="32">
        <v>45935</v>
      </c>
      <c r="H27" s="32">
        <v>45936</v>
      </c>
      <c r="I27" s="32">
        <v>45937</v>
      </c>
      <c r="J27" s="32">
        <v>45938</v>
      </c>
      <c r="K27" s="32">
        <v>45939</v>
      </c>
      <c r="L27" s="32">
        <v>45940</v>
      </c>
      <c r="M27" s="32">
        <v>45941</v>
      </c>
      <c r="N27" s="32">
        <v>45942</v>
      </c>
      <c r="O27" s="32">
        <v>45943</v>
      </c>
      <c r="P27" s="32">
        <v>45944</v>
      </c>
      <c r="Q27" s="32">
        <v>45945</v>
      </c>
      <c r="R27" s="32">
        <v>45946</v>
      </c>
      <c r="S27" s="32">
        <v>45947</v>
      </c>
      <c r="T27" s="32">
        <v>45948</v>
      </c>
      <c r="U27" s="32">
        <v>45949</v>
      </c>
      <c r="V27" s="32">
        <v>45950</v>
      </c>
      <c r="W27" s="32">
        <v>45951</v>
      </c>
      <c r="X27" s="32">
        <v>45952</v>
      </c>
      <c r="Y27" s="32">
        <v>45953</v>
      </c>
      <c r="Z27" s="32">
        <v>45954</v>
      </c>
      <c r="AA27" s="32">
        <v>45955</v>
      </c>
      <c r="AB27" s="32">
        <v>45956</v>
      </c>
      <c r="AC27" s="32">
        <v>45957</v>
      </c>
      <c r="AD27" s="32">
        <v>45958</v>
      </c>
      <c r="AE27" s="32">
        <v>45959</v>
      </c>
      <c r="AF27" s="32">
        <v>45960</v>
      </c>
      <c r="AG27" s="32">
        <v>45961</v>
      </c>
      <c r="AH27" s="32">
        <v>45962</v>
      </c>
      <c r="AI27" s="32">
        <v>45963</v>
      </c>
      <c r="AJ27" s="32">
        <v>45964</v>
      </c>
      <c r="AK27" s="32">
        <v>45965</v>
      </c>
      <c r="AL27" s="32">
        <v>45966</v>
      </c>
      <c r="AM27" s="32">
        <v>45967</v>
      </c>
      <c r="AN27" s="32">
        <v>45968</v>
      </c>
      <c r="AO27" s="32">
        <v>45969</v>
      </c>
    </row>
    <row r="28" spans="1:41" x14ac:dyDescent="0.25">
      <c r="A28" s="46" t="s">
        <v>49</v>
      </c>
      <c r="B28" s="34"/>
      <c r="C28" s="119">
        <f>B27/39</f>
        <v>0.58974358974358976</v>
      </c>
      <c r="D28" s="119">
        <f>B27/39</f>
        <v>0.58974358974358976</v>
      </c>
      <c r="E28" s="119">
        <f>B27/39</f>
        <v>0.58974358974358976</v>
      </c>
      <c r="F28" s="119">
        <f>B27/39</f>
        <v>0.58974358974358976</v>
      </c>
      <c r="G28" s="119">
        <f>B27/39</f>
        <v>0.58974358974358976</v>
      </c>
      <c r="H28" s="119">
        <f>B27/39</f>
        <v>0.58974358974358976</v>
      </c>
      <c r="I28" s="119">
        <f>B27/39</f>
        <v>0.58974358974358976</v>
      </c>
      <c r="J28" s="119">
        <f>B27/39</f>
        <v>0.58974358974358976</v>
      </c>
      <c r="K28" s="119">
        <f>B27/39</f>
        <v>0.58974358974358976</v>
      </c>
      <c r="L28" s="119">
        <f>B27/39</f>
        <v>0.58974358974358976</v>
      </c>
      <c r="M28" s="119">
        <f>B27/39</f>
        <v>0.58974358974358976</v>
      </c>
      <c r="N28" s="119">
        <f>B27/39</f>
        <v>0.58974358974358976</v>
      </c>
      <c r="O28" s="119">
        <f>B27/39</f>
        <v>0.58974358974358976</v>
      </c>
      <c r="P28" s="119">
        <f>B27/39</f>
        <v>0.58974358974358976</v>
      </c>
      <c r="Q28" s="119">
        <f>B27/39</f>
        <v>0.58974358974358976</v>
      </c>
      <c r="R28" s="119">
        <f>B27/39</f>
        <v>0.58974358974358976</v>
      </c>
      <c r="S28" s="119">
        <f>B27/39</f>
        <v>0.58974358974358976</v>
      </c>
      <c r="T28" s="119">
        <f>B27/39</f>
        <v>0.58974358974358976</v>
      </c>
      <c r="U28" s="119">
        <f>B27/39</f>
        <v>0.58974358974358976</v>
      </c>
      <c r="V28" s="119">
        <f>B27/39</f>
        <v>0.58974358974358976</v>
      </c>
      <c r="W28" s="119">
        <f>B27/39</f>
        <v>0.58974358974358976</v>
      </c>
      <c r="X28" s="119">
        <f>B27/39</f>
        <v>0.58974358974358976</v>
      </c>
      <c r="Y28" s="119">
        <f>B27/39</f>
        <v>0.58974358974358976</v>
      </c>
      <c r="Z28" s="119">
        <f>B27/39</f>
        <v>0.58974358974358976</v>
      </c>
      <c r="AA28" s="119">
        <f>B27/39</f>
        <v>0.58974358974358976</v>
      </c>
      <c r="AB28" s="119">
        <f>B27/39</f>
        <v>0.58974358974358976</v>
      </c>
      <c r="AC28" s="119">
        <f>B27/39</f>
        <v>0.58974358974358976</v>
      </c>
      <c r="AD28" s="119">
        <f>B27/39</f>
        <v>0.58974358974358976</v>
      </c>
      <c r="AE28" s="119">
        <f>B27/39</f>
        <v>0.58974358974358976</v>
      </c>
      <c r="AF28" s="119">
        <f>B27/39</f>
        <v>0.58974358974358976</v>
      </c>
      <c r="AG28" s="119">
        <f>B27/39</f>
        <v>0.58974358974358976</v>
      </c>
      <c r="AH28" s="119">
        <f>B27/39</f>
        <v>0.58974358974358976</v>
      </c>
      <c r="AI28" s="119">
        <f>B27/39</f>
        <v>0.58974358974358976</v>
      </c>
      <c r="AJ28" s="119">
        <f>B27/39</f>
        <v>0.58974358974358976</v>
      </c>
      <c r="AK28" s="119">
        <f>B27/39</f>
        <v>0.58974358974358976</v>
      </c>
      <c r="AL28" s="119">
        <f>B27/39</f>
        <v>0.58974358974358976</v>
      </c>
      <c r="AM28" s="119">
        <f>B27/39</f>
        <v>0.58974358974358976</v>
      </c>
      <c r="AN28" s="119">
        <f>B27/39</f>
        <v>0.58974358974358976</v>
      </c>
      <c r="AO28" s="119">
        <f>B27/39</f>
        <v>0.58974358974358976</v>
      </c>
    </row>
    <row r="29" spans="1:41" outlineLevel="1" x14ac:dyDescent="0.25">
      <c r="A29" s="46" t="s">
        <v>50</v>
      </c>
      <c r="B29" s="34"/>
      <c r="C29" s="119">
        <f>B27</f>
        <v>23</v>
      </c>
      <c r="D29" s="119">
        <f>B27-SUM(C28:D28)</f>
        <v>21.820512820512821</v>
      </c>
      <c r="E29" s="119">
        <f>B27-SUM(C28:E28)</f>
        <v>21.23076923076923</v>
      </c>
      <c r="F29" s="119">
        <f>B27-SUM(C28:F28)</f>
        <v>20.641025641025642</v>
      </c>
      <c r="G29" s="119">
        <f>B27-SUM(C28:G28)</f>
        <v>20.051282051282051</v>
      </c>
      <c r="H29" s="119">
        <f>B27-SUM(C28:H28)</f>
        <v>19.46153846153846</v>
      </c>
      <c r="I29" s="119">
        <f>B27-SUM(C28:I28)</f>
        <v>18.871794871794872</v>
      </c>
      <c r="J29" s="119">
        <f>B27-SUM(C28:J28)</f>
        <v>18.282051282051281</v>
      </c>
      <c r="K29" s="119">
        <f>B27-SUM(C28:K28)</f>
        <v>17.692307692307693</v>
      </c>
      <c r="L29" s="119">
        <f>B27-SUM(C28:L28)</f>
        <v>17.102564102564102</v>
      </c>
      <c r="M29" s="119">
        <f>B27-SUM(C28:M28)</f>
        <v>16.512820512820515</v>
      </c>
      <c r="N29" s="119">
        <f>B27-SUM(C28:N28)</f>
        <v>15.923076923076923</v>
      </c>
      <c r="O29" s="119">
        <f>B27-SUM(C28:O28)</f>
        <v>15.333333333333336</v>
      </c>
      <c r="P29" s="119">
        <f>B27-SUM(C28:P28)</f>
        <v>14.743589743589745</v>
      </c>
      <c r="Q29" s="119">
        <f>B27-SUM(C28:Q28)</f>
        <v>14.153846153846155</v>
      </c>
      <c r="R29" s="119">
        <f>B27-SUM(C28:R28)</f>
        <v>13.564102564102566</v>
      </c>
      <c r="S29" s="119">
        <f>B27-SUM(C28:S28)</f>
        <v>12.974358974358976</v>
      </c>
      <c r="T29" s="119">
        <f>B27-SUM(C28:T28)</f>
        <v>12.384615384615387</v>
      </c>
      <c r="U29" s="119">
        <f>B27-SUM(C28:U28)</f>
        <v>11.794871794871797</v>
      </c>
      <c r="V29" s="119">
        <f>B27-SUM(C28:V28)</f>
        <v>11.205128205128208</v>
      </c>
      <c r="W29" s="119">
        <f>B27-SUM(C28:W28)</f>
        <v>10.615384615384619</v>
      </c>
      <c r="X29" s="119">
        <f>B27-SUM(C28:X28)</f>
        <v>10.025641025641029</v>
      </c>
      <c r="Y29" s="119">
        <f>B27-SUM(C28:Y28)</f>
        <v>9.4358974358974397</v>
      </c>
      <c r="Z29" s="119">
        <f>B27-SUM(C28:Z28)</f>
        <v>8.8461538461538503</v>
      </c>
      <c r="AA29" s="119">
        <f>B27-SUM(C28:AA28)</f>
        <v>8.2564102564102608</v>
      </c>
      <c r="AB29" s="119">
        <f>B27-SUM(C28:AB28)</f>
        <v>7.6666666666666714</v>
      </c>
      <c r="AC29" s="119">
        <f>B27-SUM(C28:AC28)</f>
        <v>7.076923076923082</v>
      </c>
      <c r="AD29" s="119">
        <f>B27-SUM(C28:AD28)</f>
        <v>6.4871794871794926</v>
      </c>
      <c r="AE29" s="119">
        <f>B27-SUM(C28:AE28)</f>
        <v>5.8974358974359014</v>
      </c>
      <c r="AF29" s="119">
        <f>B27-SUM(C28:AF28)</f>
        <v>5.3076923076923102</v>
      </c>
      <c r="AG29" s="119">
        <f>B27-SUM(C28:AG28)</f>
        <v>4.717948717948719</v>
      </c>
      <c r="AH29" s="119">
        <f>B27-SUM(C28:AH28)</f>
        <v>4.1282051282051277</v>
      </c>
      <c r="AI29" s="119">
        <f>B27-SUM(C28:AI28)</f>
        <v>3.5384615384615365</v>
      </c>
      <c r="AJ29" s="119">
        <f>B27-SUM(C28:AJ28)</f>
        <v>2.9487179487179453</v>
      </c>
      <c r="AK29" s="119">
        <f>B27-SUM(C28:AK28)</f>
        <v>2.3589743589743541</v>
      </c>
      <c r="AL29" s="119">
        <f>B27-SUM(C28:AL28)</f>
        <v>1.7692307692307629</v>
      </c>
      <c r="AM29" s="119">
        <f>B27-SUM(C28:AM28)</f>
        <v>1.1794871794871717</v>
      </c>
      <c r="AN29" s="119">
        <f>B27-SUM(C28:AN28)</f>
        <v>0.58974358974358054</v>
      </c>
      <c r="AO29" s="119">
        <f>B27-SUM(C28:AO28)</f>
        <v>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2"/>
  <sheetViews>
    <sheetView workbookViewId="0">
      <selection activeCell="A2" sqref="A2"/>
    </sheetView>
  </sheetViews>
  <sheetFormatPr baseColWidth="10" defaultRowHeight="15" x14ac:dyDescent="0.25"/>
  <cols>
    <col min="1" max="1" width="70.85546875" customWidth="1"/>
    <col min="2" max="2" width="40.7109375" customWidth="1"/>
    <col min="3" max="3" width="80.7109375" customWidth="1"/>
  </cols>
  <sheetData>
    <row r="1" spans="1:3" ht="39.950000000000003" customHeight="1" x14ac:dyDescent="0.25">
      <c r="A1" s="72" t="s">
        <v>58</v>
      </c>
      <c r="B1" s="72" t="s">
        <v>59</v>
      </c>
      <c r="C1" s="72" t="s">
        <v>60</v>
      </c>
    </row>
    <row r="2" spans="1:3" ht="39.950000000000003" customHeight="1" x14ac:dyDescent="0.25">
      <c r="A2" s="98" t="s">
        <v>116</v>
      </c>
      <c r="B2" s="98" t="s">
        <v>117</v>
      </c>
      <c r="C2" s="98" t="s">
        <v>118</v>
      </c>
    </row>
    <row r="3" spans="1:3" ht="39.950000000000003" customHeight="1" x14ac:dyDescent="0.25">
      <c r="A3" s="98" t="s">
        <v>119</v>
      </c>
      <c r="B3" s="98" t="s">
        <v>121</v>
      </c>
      <c r="C3" s="98" t="s">
        <v>120</v>
      </c>
    </row>
    <row r="4" spans="1:3" ht="39.950000000000003" customHeight="1" x14ac:dyDescent="0.25">
      <c r="A4" s="98"/>
      <c r="B4" s="98" t="s">
        <v>122</v>
      </c>
      <c r="C4" s="98"/>
    </row>
    <row r="5" spans="1:3" ht="39.950000000000003" customHeight="1" x14ac:dyDescent="0.25">
      <c r="A5" s="98"/>
      <c r="B5" s="98"/>
      <c r="C5" s="98"/>
    </row>
    <row r="6" spans="1:3" ht="39.950000000000003" customHeight="1" x14ac:dyDescent="0.25">
      <c r="A6" s="98"/>
      <c r="B6" s="98"/>
      <c r="C6" s="98"/>
    </row>
    <row r="7" spans="1:3" ht="39.950000000000003" customHeight="1" x14ac:dyDescent="0.25"/>
    <row r="8" spans="1:3" ht="39.950000000000003" customHeight="1" x14ac:dyDescent="0.25"/>
    <row r="9" spans="1:3" ht="39.950000000000003" customHeight="1" x14ac:dyDescent="0.25"/>
    <row r="10" spans="1:3" ht="39.950000000000003" customHeight="1" x14ac:dyDescent="0.25"/>
    <row r="11" spans="1:3" ht="39.950000000000003" customHeight="1" x14ac:dyDescent="0.25"/>
    <row r="12" spans="1:3" ht="39.950000000000003" customHeight="1" x14ac:dyDescent="0.25"/>
    <row r="13" spans="1:3" ht="39.950000000000003" customHeight="1" x14ac:dyDescent="0.25"/>
    <row r="14" spans="1:3" ht="39.950000000000003" customHeight="1" x14ac:dyDescent="0.25"/>
    <row r="15" spans="1:3" ht="39.950000000000003" customHeight="1" x14ac:dyDescent="0.25"/>
    <row r="16" spans="1:3" ht="39.950000000000003" customHeight="1" x14ac:dyDescent="0.25"/>
    <row r="17" ht="39.950000000000003" customHeight="1" x14ac:dyDescent="0.25"/>
    <row r="18" ht="39.950000000000003" customHeight="1" x14ac:dyDescent="0.25"/>
    <row r="19" ht="39.950000000000003" customHeight="1" x14ac:dyDescent="0.25"/>
    <row r="20" ht="39.950000000000003" customHeight="1" x14ac:dyDescent="0.25"/>
    <row r="21" ht="39.950000000000003" customHeight="1" x14ac:dyDescent="0.25"/>
    <row r="22" ht="39.950000000000003" customHeight="1" x14ac:dyDescent="0.25"/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8D1A4-3305-4736-973E-1EA945529E19}">
  <dimension ref="A1:C22"/>
  <sheetViews>
    <sheetView workbookViewId="0">
      <selection activeCell="C11" sqref="C11"/>
    </sheetView>
  </sheetViews>
  <sheetFormatPr baseColWidth="10" defaultRowHeight="15" x14ac:dyDescent="0.25"/>
  <cols>
    <col min="1" max="1" width="70.85546875" customWidth="1"/>
    <col min="2" max="2" width="40.7109375" customWidth="1"/>
    <col min="3" max="3" width="80.7109375" customWidth="1"/>
  </cols>
  <sheetData>
    <row r="1" spans="1:3" ht="39.950000000000003" customHeight="1" x14ac:dyDescent="0.25">
      <c r="A1" s="72" t="s">
        <v>58</v>
      </c>
      <c r="B1" s="72" t="s">
        <v>59</v>
      </c>
      <c r="C1" s="72" t="s">
        <v>60</v>
      </c>
    </row>
    <row r="2" spans="1:3" ht="39.950000000000003" customHeight="1" x14ac:dyDescent="0.25">
      <c r="A2" s="98"/>
      <c r="B2" s="98"/>
      <c r="C2" s="98"/>
    </row>
    <row r="3" spans="1:3" ht="39.950000000000003" customHeight="1" x14ac:dyDescent="0.25">
      <c r="A3" s="98"/>
      <c r="B3" s="98"/>
      <c r="C3" s="98"/>
    </row>
    <row r="4" spans="1:3" ht="39.950000000000003" customHeight="1" x14ac:dyDescent="0.25">
      <c r="A4" s="98"/>
      <c r="B4" s="98"/>
      <c r="C4" s="98"/>
    </row>
    <row r="5" spans="1:3" ht="39.950000000000003" customHeight="1" x14ac:dyDescent="0.25">
      <c r="A5" s="98"/>
      <c r="B5" s="98"/>
      <c r="C5" s="98"/>
    </row>
    <row r="6" spans="1:3" ht="39.950000000000003" customHeight="1" x14ac:dyDescent="0.25">
      <c r="A6" s="98"/>
      <c r="B6" s="98"/>
      <c r="C6" s="98"/>
    </row>
    <row r="7" spans="1:3" ht="39.950000000000003" customHeight="1" x14ac:dyDescent="0.25"/>
    <row r="8" spans="1:3" ht="39.950000000000003" customHeight="1" x14ac:dyDescent="0.25"/>
    <row r="9" spans="1:3" ht="39.950000000000003" customHeight="1" x14ac:dyDescent="0.25"/>
    <row r="10" spans="1:3" ht="39.950000000000003" customHeight="1" x14ac:dyDescent="0.25"/>
    <row r="11" spans="1:3" ht="39.950000000000003" customHeight="1" x14ac:dyDescent="0.25"/>
    <row r="12" spans="1:3" ht="39.950000000000003" customHeight="1" x14ac:dyDescent="0.25"/>
    <row r="13" spans="1:3" ht="39.950000000000003" customHeight="1" x14ac:dyDescent="0.25"/>
    <row r="14" spans="1:3" ht="39.950000000000003" customHeight="1" x14ac:dyDescent="0.25"/>
    <row r="15" spans="1:3" ht="39.950000000000003" customHeight="1" x14ac:dyDescent="0.25"/>
    <row r="16" spans="1:3" ht="39.950000000000003" customHeight="1" x14ac:dyDescent="0.25"/>
    <row r="17" ht="39.950000000000003" customHeight="1" x14ac:dyDescent="0.25"/>
    <row r="18" ht="39.950000000000003" customHeight="1" x14ac:dyDescent="0.25"/>
    <row r="19" ht="39.950000000000003" customHeight="1" x14ac:dyDescent="0.25"/>
    <row r="20" ht="39.950000000000003" customHeight="1" x14ac:dyDescent="0.25"/>
    <row r="21" ht="39.950000000000003" customHeight="1" x14ac:dyDescent="0.25"/>
    <row r="22" ht="39.950000000000003" customHeight="1" x14ac:dyDescent="0.25"/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</vt:lpstr>
      <vt:lpstr>Backlog Producto</vt:lpstr>
      <vt:lpstr>Pila-Sprint1</vt:lpstr>
      <vt:lpstr>Pila-Sprint2</vt:lpstr>
      <vt:lpstr>Diario-Restante-Sprint1</vt:lpstr>
      <vt:lpstr>Diario-Realizado-Sprint1</vt:lpstr>
      <vt:lpstr>Burns</vt:lpstr>
      <vt:lpstr>Retrospectiva Sprint 1</vt:lpstr>
      <vt:lpstr>Retrospectiva Sprint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2006-09-12T12:46:56Z</dcterms:created>
  <dcterms:modified xsi:type="dcterms:W3CDTF">2025-11-10T17:41:46Z</dcterms:modified>
</cp:coreProperties>
</file>